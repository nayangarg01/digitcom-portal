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6960" tabRatio="729" firstSheet="0" activeTab="6" autoFilterDateGrouping="1"/>
  </bookViews>
  <sheets>
    <sheet name="Main WCC" sheetId="1" state="visible" r:id="rId1"/>
    <sheet name="WCC" sheetId="2" state="visible" r:id="rId2"/>
    <sheet name="JMS" sheetId="3" state="visible" r:id="rId3"/>
    <sheet name="Abstract" sheetId="4" state="visible" r:id="rId4"/>
    <sheet name="BOQ" sheetId="5" state="visible" r:id="rId5"/>
    <sheet name="Declaration" sheetId="6" state="visible" r:id="rId6"/>
    <sheet name="Reco" sheetId="7" state="visible" r:id="rId7"/>
    <sheet name="Annexture" sheetId="8" state="visible" r:id="rId8"/>
  </sheets>
  <definedNames>
    <definedName name="_xlnm._FilterDatabase" localSheetId="1" hidden="1">'WCC'!$C$11:$O$11</definedName>
    <definedName name="_xlnm.Print_Area" localSheetId="1">'WCC'!$C$5:$O$33</definedName>
  </definedNames>
  <calcPr calcId="152511" fullCalcOnLoad="1"/>
</workbook>
</file>

<file path=xl/styles.xml><?xml version="1.0" encoding="utf-8"?>
<styleSheet xmlns="http://schemas.openxmlformats.org/spreadsheetml/2006/main">
  <numFmts count="1">
    <numFmt numFmtId="164" formatCode="0.00000"/>
  </numFmts>
  <fonts count="67">
    <font>
      <name val="Calibri"/>
      <family val="2"/>
      <color theme="1"/>
      <sz val="11"/>
      <scheme val="minor"/>
    </font>
    <font>
      <name val="Arial"/>
      <family val="2"/>
      <sz val="10"/>
    </font>
    <font>
      <name val="Verdana"/>
      <family val="2"/>
      <color theme="1"/>
      <sz val="10"/>
    </font>
    <font>
      <name val="Verdana"/>
      <family val="2"/>
      <color theme="1"/>
      <sz val="12"/>
    </font>
    <font>
      <name val="Verdana"/>
      <family val="2"/>
      <color theme="1"/>
      <sz val="14"/>
    </font>
    <font>
      <name val="Verdana"/>
      <family val="2"/>
      <color theme="1"/>
      <sz val="18"/>
    </font>
    <font>
      <name val="Verdana"/>
      <family val="2"/>
      <color theme="1"/>
      <sz val="20"/>
    </font>
    <font>
      <name val="Calibri"/>
      <family val="2"/>
      <b val="1"/>
      <color theme="1"/>
      <sz val="11"/>
      <scheme val="minor"/>
    </font>
    <font>
      <name val="Calibri"/>
      <family val="2"/>
      <b val="1"/>
      <color theme="1"/>
      <sz val="18"/>
      <u val="single"/>
      <scheme val="minor"/>
    </font>
    <font>
      <name val="Calibri"/>
      <family val="2"/>
      <b val="1"/>
      <color theme="1"/>
      <sz val="14"/>
      <u val="single"/>
      <scheme val="minor"/>
    </font>
    <font>
      <name val="Calibri"/>
      <family val="2"/>
      <b val="1"/>
      <color theme="1"/>
      <sz val="14"/>
      <scheme val="minor"/>
    </font>
    <font>
      <name val="Calibri"/>
      <family val="2"/>
      <b val="1"/>
      <color theme="1"/>
      <sz val="11"/>
      <u val="single"/>
      <scheme val="minor"/>
    </font>
    <font>
      <name val="Calibri"/>
      <family val="2"/>
      <b val="1"/>
      <color theme="1"/>
      <sz val="8"/>
      <scheme val="minor"/>
    </font>
    <font>
      <name val="Calibri"/>
      <family val="2"/>
      <b val="1"/>
      <color theme="1"/>
      <sz val="12"/>
      <scheme val="minor"/>
    </font>
    <font>
      <name val="Calibri"/>
      <family val="2"/>
      <b val="1"/>
      <color theme="1"/>
      <sz val="16"/>
      <scheme val="minor"/>
    </font>
    <font>
      <name val="Verdana"/>
      <family val="2"/>
      <color theme="1"/>
      <sz val="16"/>
    </font>
    <font>
      <name val="Calibri"/>
      <family val="2"/>
      <color theme="1"/>
      <sz val="16"/>
      <scheme val="minor"/>
    </font>
    <font>
      <name val="Calibri"/>
      <family val="2"/>
      <b val="1"/>
      <sz val="22"/>
      <scheme val="minor"/>
    </font>
    <font>
      <name val="Calibri"/>
      <family val="2"/>
      <b val="1"/>
      <color theme="1"/>
      <sz val="24"/>
      <scheme val="minor"/>
    </font>
    <font>
      <name val="Calibri"/>
      <family val="2"/>
      <b val="1"/>
      <color theme="1"/>
      <sz val="22"/>
      <scheme val="minor"/>
    </font>
    <font>
      <name val="Calibri"/>
      <family val="2"/>
      <b val="1"/>
      <color theme="1"/>
      <sz val="36"/>
      <scheme val="minor"/>
    </font>
    <font>
      <name val="Calibri"/>
      <family val="2"/>
      <b val="1"/>
      <color rgb="FF000000"/>
      <sz val="36"/>
      <scheme val="minor"/>
    </font>
    <font>
      <name val="Calibri"/>
      <family val="2"/>
      <b val="1"/>
      <color theme="1"/>
      <sz val="48"/>
      <scheme val="minor"/>
    </font>
    <font>
      <name val="Calibri"/>
      <family val="2"/>
      <b val="1"/>
      <color rgb="FF000000"/>
      <sz val="48"/>
      <scheme val="minor"/>
    </font>
    <font>
      <name val="Verdana"/>
      <family val="2"/>
      <color theme="1"/>
      <sz val="48"/>
    </font>
    <font>
      <name val="Calibri"/>
      <family val="2"/>
      <b val="1"/>
      <sz val="36"/>
      <scheme val="minor"/>
    </font>
    <font>
      <name val="Calibri"/>
      <family val="2"/>
      <b val="1"/>
      <color theme="1"/>
      <sz val="48"/>
      <u val="single"/>
      <scheme val="minor"/>
    </font>
    <font>
      <name val="Verdana"/>
      <family val="2"/>
      <b val="1"/>
      <color theme="1"/>
      <sz val="48"/>
    </font>
    <font>
      <name val="Verdana"/>
      <family val="2"/>
      <b val="1"/>
      <i val="1"/>
      <color theme="1"/>
      <sz val="48"/>
      <u val="single"/>
    </font>
    <font>
      <name val="Calibri"/>
      <family val="2"/>
      <color theme="1"/>
      <sz val="36"/>
      <scheme val="minor"/>
    </font>
    <font>
      <name val="Calibri"/>
      <family val="2"/>
      <color theme="1"/>
      <sz val="11"/>
      <scheme val="minor"/>
    </font>
    <font>
      <name val="Tahoma"/>
      <family val="2"/>
      <b val="1"/>
      <sz val="14"/>
    </font>
    <font>
      <name val="Tahoma"/>
      <family val="2"/>
      <b val="1"/>
      <sz val="10"/>
    </font>
    <font>
      <name val="Arial"/>
      <family val="2"/>
      <b val="1"/>
      <sz val="11"/>
    </font>
    <font>
      <name val="Arial"/>
      <family val="2"/>
      <b val="1"/>
      <sz val="14"/>
    </font>
    <font>
      <name val="Arial"/>
      <family val="2"/>
      <b val="1"/>
      <sz val="10"/>
    </font>
    <font>
      <name val="Tahoma"/>
      <family val="2"/>
      <b val="1"/>
      <sz val="9"/>
    </font>
    <font>
      <name val="Tahoma"/>
      <family val="2"/>
      <sz val="9"/>
    </font>
    <font>
      <name val="Calibri"/>
      <family val="2"/>
      <sz val="11"/>
      <scheme val="minor"/>
    </font>
    <font>
      <name val="Arial"/>
      <family val="2"/>
      <b val="1"/>
      <i val="1"/>
      <sz val="9"/>
    </font>
    <font>
      <name val="Calibri"/>
      <family val="2"/>
      <color rgb="FF000000"/>
      <sz val="24"/>
      <scheme val="minor"/>
    </font>
    <font>
      <name val="Calibri"/>
      <family val="2"/>
      <b val="1"/>
      <color indexed="8"/>
      <sz val="24"/>
      <scheme val="minor"/>
    </font>
    <font>
      <name val="Calibri"/>
      <family val="2"/>
      <b val="1"/>
      <sz val="12"/>
      <scheme val="minor"/>
    </font>
    <font>
      <name val="Calibri"/>
      <family val="2"/>
      <color theme="1"/>
      <sz val="12"/>
      <scheme val="minor"/>
    </font>
    <font>
      <name val="Calibri"/>
      <family val="2"/>
      <sz val="12"/>
      <scheme val="minor"/>
    </font>
    <font>
      <name val="Calibri"/>
      <family val="2"/>
      <b val="1"/>
      <color indexed="10"/>
      <sz val="12"/>
      <scheme val="minor"/>
    </font>
    <font>
      <name val="Calibri"/>
      <family val="2"/>
      <b val="1"/>
      <color rgb="FF000000"/>
      <sz val="34"/>
      <scheme val="minor"/>
    </font>
    <font>
      <name val="Calibri"/>
      <family val="2"/>
      <color theme="1"/>
      <sz val="48"/>
      <scheme val="minor"/>
    </font>
    <font>
      <name val="Calibri"/>
      <family val="2"/>
      <b val="1"/>
      <color theme="1"/>
      <sz val="9"/>
      <scheme val="minor"/>
    </font>
    <font>
      <name val="Calibri"/>
      <family val="2"/>
      <b val="1"/>
      <color theme="1"/>
      <sz val="9"/>
    </font>
    <font>
      <name val="Calibri"/>
      <family val="2"/>
      <b val="1"/>
      <sz val="11"/>
      <scheme val="minor"/>
    </font>
    <font>
      <name val="Calibri"/>
      <family val="2"/>
      <b val="1"/>
      <color theme="1"/>
      <sz val="40"/>
      <scheme val="minor"/>
    </font>
    <font>
      <name val="Calibri"/>
      <family val="2"/>
      <b val="1"/>
      <color rgb="FF000000"/>
      <sz val="40"/>
      <scheme val="minor"/>
    </font>
    <font>
      <name val="Calibri"/>
      <family val="2"/>
      <b val="1"/>
      <sz val="40"/>
      <scheme val="minor"/>
    </font>
    <font>
      <name val="Verdana"/>
      <family val="2"/>
      <b val="1"/>
      <color theme="1"/>
      <sz val="40"/>
    </font>
    <font>
      <name val="Verdana"/>
      <family val="2"/>
      <color theme="1"/>
      <sz val="36"/>
    </font>
    <font>
      <name val="Verdana"/>
      <family val="2"/>
      <color theme="1"/>
      <sz val="35"/>
    </font>
    <font>
      <name val="Verdana"/>
      <family val="2"/>
      <b val="1"/>
      <sz val="35"/>
    </font>
    <font>
      <name val="Verdana"/>
      <family val="2"/>
      <color theme="1"/>
      <sz val="33"/>
    </font>
    <font>
      <name val="Calibri"/>
      <family val="2"/>
      <color theme="1"/>
      <sz val="42"/>
      <scheme val="minor"/>
    </font>
    <font>
      <name val="Calibri"/>
      <family val="2"/>
      <b val="1"/>
      <color theme="1"/>
      <sz val="42"/>
      <scheme val="minor"/>
    </font>
    <font>
      <name val="Calibri"/>
      <family val="2"/>
      <b val="1"/>
      <color rgb="FF000000"/>
      <sz val="22"/>
      <scheme val="minor"/>
    </font>
    <font>
      <name val="Calibri"/>
      <family val="2"/>
      <sz val="42"/>
      <scheme val="minor"/>
    </font>
    <font>
      <name val="Calibri"/>
      <family val="2"/>
      <color theme="1"/>
      <sz val="24"/>
      <scheme val="minor"/>
    </font>
    <font>
      <name val="Calibri"/>
      <family val="2"/>
      <b val="1"/>
      <color theme="1"/>
      <sz val="24"/>
    </font>
    <font>
      <name val="Verdana"/>
      <family val="2"/>
      <color theme="1"/>
      <sz val="24"/>
    </font>
    <font>
      <name val="Verdana"/>
      <sz val="35"/>
    </font>
  </fonts>
  <fills count="17">
    <fill>
      <patternFill/>
    </fill>
    <fill>
      <patternFill patternType="gray125"/>
    </fill>
    <fill>
      <patternFill patternType="solid">
        <fgColor theme="3" tint="0.7999816888943144"/>
        <bgColor indexed="64"/>
      </patternFill>
    </fill>
    <fill>
      <patternFill patternType="solid">
        <fgColor theme="3" tint="0.5999938962981048"/>
        <bgColor indexed="64"/>
      </patternFill>
    </fill>
    <fill>
      <patternFill patternType="solid">
        <fgColor theme="4" tint="0.7999816888943144"/>
        <bgColor theme="4" tint="0.7999816888943144"/>
      </patternFill>
    </fill>
    <fill>
      <patternFill patternType="solid">
        <fgColor theme="4"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FFFF00"/>
        <bgColor indexed="64"/>
      </patternFill>
    </fill>
    <fill>
      <patternFill patternType="solid">
        <fgColor theme="0"/>
        <bgColor indexed="64"/>
      </patternFill>
    </fill>
    <fill>
      <patternFill patternType="solid">
        <fgColor indexed="44"/>
        <bgColor indexed="22"/>
      </patternFill>
    </fill>
    <fill>
      <patternFill patternType="solid">
        <fgColor indexed="31"/>
        <bgColor indexed="22"/>
      </patternFill>
    </fill>
    <fill>
      <patternFill patternType="solid">
        <fgColor indexed="42"/>
        <bgColor indexed="47"/>
      </patternFill>
    </fill>
    <fill>
      <patternFill patternType="solid">
        <fgColor indexed="22"/>
        <bgColor indexed="31"/>
      </patternFill>
    </fill>
    <fill>
      <patternFill patternType="solid">
        <fgColor indexed="47"/>
        <bgColor indexed="42"/>
      </patternFill>
    </fill>
    <fill>
      <patternFill patternType="solid">
        <fgColor indexed="13"/>
        <bgColor indexed="34"/>
      </patternFill>
    </fill>
  </fills>
  <borders count="95">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top style="thin">
        <color indexed="64"/>
      </top>
      <bottom style="thin">
        <color indexed="64"/>
      </bottom>
      <diagonal/>
    </border>
    <border>
      <left/>
      <right/>
      <top/>
      <bottom style="mediumDashed">
        <color indexed="64"/>
      </bottom>
      <diagonal/>
    </border>
    <border>
      <left/>
      <right style="medium">
        <color auto="1"/>
      </right>
      <top/>
      <bottom style="mediumDashed">
        <color indexed="64"/>
      </bottom>
      <diagonal/>
    </border>
    <border>
      <left/>
      <right/>
      <top style="double">
        <color indexed="64"/>
      </top>
      <bottom/>
      <diagonal/>
    </border>
    <border>
      <left/>
      <right style="medium">
        <color indexed="64"/>
      </right>
      <top style="double">
        <color indexed="64"/>
      </top>
      <bottom/>
      <diagonal/>
    </border>
    <border>
      <left style="medium">
        <color indexed="64"/>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64"/>
      </right>
      <top style="medium">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medium">
        <color indexed="64"/>
      </right>
      <top style="thin">
        <color indexed="8"/>
      </top>
      <bottom/>
      <diagonal/>
    </border>
    <border>
      <left style="medium">
        <color indexed="64"/>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medium">
        <color indexed="64"/>
      </left>
      <right/>
      <top/>
      <bottom style="thin">
        <color indexed="8"/>
      </bottom>
      <diagonal/>
    </border>
    <border>
      <left/>
      <right style="thin">
        <color indexed="8"/>
      </right>
      <top/>
      <bottom style="thin">
        <color indexed="8"/>
      </bottom>
      <diagonal/>
    </border>
    <border>
      <left style="medium">
        <color indexed="64"/>
      </left>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medium">
        <color indexed="64"/>
      </right>
      <top/>
      <bottom style="thin">
        <color indexed="8"/>
      </bottom>
      <diagonal/>
    </border>
    <border>
      <left/>
      <right style="medium">
        <color indexed="64"/>
      </right>
      <top style="thin">
        <color indexed="8"/>
      </top>
      <bottom style="thin">
        <color indexed="8"/>
      </bottom>
      <diagonal/>
    </border>
    <border>
      <left style="medium">
        <color indexed="64"/>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64"/>
      </left>
      <right style="thin">
        <color indexed="8"/>
      </right>
      <top style="thin">
        <color indexed="8"/>
      </top>
      <bottom style="medium">
        <color indexed="64"/>
      </bottom>
      <diagonal/>
    </border>
    <border>
      <left style="medium">
        <color indexed="8"/>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double">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auto="1"/>
      </right>
      <top/>
      <bottom/>
      <diagonal/>
    </border>
    <border>
      <left style="medium">
        <color indexed="64"/>
      </left>
      <right style="medium">
        <color indexed="64"/>
      </right>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thin">
        <color indexed="8"/>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right style="medium">
        <color indexed="8"/>
      </right>
      <top/>
      <bottom style="thin">
        <color indexed="8"/>
      </bottom>
      <diagonal/>
    </border>
    <border>
      <left/>
      <right style="medium">
        <color indexed="8"/>
      </right>
      <top style="thin">
        <color indexed="8"/>
      </top>
      <bottom/>
      <diagonal/>
    </border>
    <border>
      <left/>
      <right style="medium">
        <color indexed="8"/>
      </right>
      <top style="thin">
        <color indexed="8"/>
      </top>
      <bottom style="thin">
        <color indexed="8"/>
      </bottom>
      <diagonal/>
    </border>
    <border>
      <left style="thin">
        <color indexed="8"/>
      </left>
      <right style="medium">
        <color indexed="64"/>
      </right>
      <top style="thin">
        <color indexed="8"/>
      </top>
      <bottom style="medium">
        <color indexed="64"/>
      </bottom>
      <diagonal/>
    </border>
    <border>
      <left style="medium">
        <color indexed="64"/>
      </left>
      <right/>
      <top/>
      <bottom style="medium">
        <color indexed="8"/>
      </bottom>
      <diagonal/>
    </border>
    <border>
      <left/>
      <right style="thin">
        <color indexed="8"/>
      </right>
      <top/>
      <bottom style="medium">
        <color indexed="8"/>
      </bottom>
      <diagonal/>
    </border>
    <border>
      <left style="thin">
        <color indexed="8"/>
      </left>
      <right/>
      <top/>
      <bottom style="medium">
        <color indexed="8"/>
      </bottom>
      <diagonal/>
    </border>
    <border>
      <left/>
      <right/>
      <top/>
      <bottom style="medium">
        <color indexed="8"/>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s>
  <cellStyleXfs count="4">
    <xf numFmtId="0" fontId="30" fillId="0" borderId="0"/>
    <xf numFmtId="0" fontId="1" fillId="0" borderId="0"/>
    <xf numFmtId="0" fontId="1" fillId="0" borderId="0"/>
    <xf numFmtId="0" fontId="1" fillId="0" borderId="0" applyAlignment="1">
      <alignment vertical="top"/>
    </xf>
  </cellStyleXfs>
  <cellXfs count="455">
    <xf numFmtId="0" fontId="0"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left"/>
    </xf>
    <xf numFmtId="0" fontId="4" fillId="0" borderId="0" pivotButton="0" quotePrefix="0" xfId="0"/>
    <xf numFmtId="0" fontId="5" fillId="0" borderId="0" pivotButton="0" quotePrefix="0" xfId="0"/>
    <xf numFmtId="0" fontId="6" fillId="0" borderId="0" pivotButton="0" quotePrefix="0" xfId="0"/>
    <xf numFmtId="0" fontId="7" fillId="0" borderId="6" applyAlignment="1" pivotButton="0" quotePrefix="0" xfId="0">
      <alignment horizontal="center" vertical="center"/>
    </xf>
    <xf numFmtId="0" fontId="7" fillId="0" borderId="7" pivotButton="0" quotePrefix="0" xfId="0"/>
    <xf numFmtId="0" fontId="7" fillId="0" borderId="7" applyAlignment="1" pivotButton="0" quotePrefix="0" xfId="0">
      <alignment horizontal="center"/>
    </xf>
    <xf numFmtId="0" fontId="7" fillId="0" borderId="8" pivotButton="0" quotePrefix="0" xfId="0"/>
    <xf numFmtId="0" fontId="7" fillId="0" borderId="0" pivotButton="0" quotePrefix="0" xfId="0"/>
    <xf numFmtId="0" fontId="7" fillId="0" borderId="9" applyAlignment="1" pivotButton="0" quotePrefix="0" xfId="0">
      <alignment horizontal="center" vertical="center"/>
    </xf>
    <xf numFmtId="0" fontId="7" fillId="0" borderId="0" applyAlignment="1" pivotButton="0" quotePrefix="0" xfId="0">
      <alignment horizontal="center"/>
    </xf>
    <xf numFmtId="0" fontId="7" fillId="0" borderId="10" pivotButton="0" quotePrefix="0" xfId="0"/>
    <xf numFmtId="0" fontId="8" fillId="0" borderId="0" applyAlignment="1" pivotButton="0" quotePrefix="0" xfId="0">
      <alignment vertical="center"/>
    </xf>
    <xf numFmtId="0" fontId="7" fillId="0" borderId="12" applyAlignment="1" pivotButton="0" quotePrefix="0" xfId="0">
      <alignment horizontal="center" vertical="center"/>
    </xf>
    <xf numFmtId="0" fontId="7" fillId="0" borderId="3" pivotButton="0" quotePrefix="0" xfId="0"/>
    <xf numFmtId="0" fontId="7" fillId="0" borderId="3" applyAlignment="1" pivotButton="0" quotePrefix="0" xfId="0">
      <alignment horizontal="center"/>
    </xf>
    <xf numFmtId="0" fontId="7" fillId="0" borderId="2" pivotButton="0" quotePrefix="0" xfId="0"/>
    <xf numFmtId="0" fontId="10" fillId="0" borderId="7" applyAlignment="1" pivotButton="0" quotePrefix="0" xfId="0">
      <alignment horizontal="center"/>
    </xf>
    <xf numFmtId="0" fontId="7" fillId="0" borderId="10" applyAlignment="1" pivotButton="0" quotePrefix="0" xfId="0">
      <alignment horizont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9" applyAlignment="1" pivotButton="0" quotePrefix="0" xfId="0">
      <alignment vertical="center"/>
    </xf>
    <xf numFmtId="0" fontId="7" fillId="0" borderId="0" applyAlignment="1" pivotButton="0" quotePrefix="0" xfId="0">
      <alignment horizontal="left"/>
    </xf>
    <xf numFmtId="0" fontId="7" fillId="0" borderId="10" applyAlignment="1" pivotButton="0" quotePrefix="0" xfId="0">
      <alignment horizontal="left"/>
    </xf>
    <xf numFmtId="0" fontId="12" fillId="0" borderId="0" applyAlignment="1" pivotButton="0" quotePrefix="0" xfId="0">
      <alignment horizontal="center" vertical="top"/>
    </xf>
    <xf numFmtId="0" fontId="13" fillId="0" borderId="0" pivotButton="0" quotePrefix="0" xfId="0"/>
    <xf numFmtId="0" fontId="13" fillId="0" borderId="9" applyAlignment="1" pivotButton="0" quotePrefix="0" xfId="0">
      <alignment horizontal="center" vertical="center"/>
    </xf>
    <xf numFmtId="0" fontId="13" fillId="0" borderId="10" pivotButton="0" quotePrefix="0" xfId="0"/>
    <xf numFmtId="0" fontId="7" fillId="0" borderId="19" pivotButton="0" quotePrefix="0" xfId="0"/>
    <xf numFmtId="0" fontId="11" fillId="0" borderId="0" pivotButton="0" quotePrefix="0" xfId="0"/>
    <xf numFmtId="0" fontId="7" fillId="0" borderId="20" pivotButton="0" quotePrefix="0" xfId="0"/>
    <xf numFmtId="0" fontId="12" fillId="0" borderId="12" applyAlignment="1" pivotButton="0" quotePrefix="0" xfId="0">
      <alignment horizontal="center" vertical="center"/>
    </xf>
    <xf numFmtId="0" fontId="12" fillId="0" borderId="3" pivotButton="0" quotePrefix="0" xfId="0"/>
    <xf numFmtId="0" fontId="12" fillId="0" borderId="3" applyAlignment="1" pivotButton="0" quotePrefix="0" xfId="0">
      <alignment horizontal="center"/>
    </xf>
    <xf numFmtId="0" fontId="12" fillId="0" borderId="2" pivotButton="0" quotePrefix="0" xfId="0"/>
    <xf numFmtId="0" fontId="12" fillId="0" borderId="0" pivotButton="0" quotePrefix="0" xfId="0"/>
    <xf numFmtId="0" fontId="14" fillId="0" borderId="0" pivotButton="0" quotePrefix="0" xfId="0"/>
    <xf numFmtId="0" fontId="14" fillId="0" borderId="10" pivotButton="0" quotePrefix="0" xfId="0"/>
    <xf numFmtId="0" fontId="16" fillId="0" borderId="0" applyAlignment="1" pivotButton="0" quotePrefix="0" xfId="0">
      <alignment horizontal="left"/>
    </xf>
    <xf numFmtId="0" fontId="4" fillId="0" borderId="21" applyAlignment="1" pivotButton="0" quotePrefix="0" xfId="0">
      <alignment horizontal="center" vertical="center"/>
    </xf>
    <xf numFmtId="0" fontId="4" fillId="0" borderId="22" applyAlignment="1" pivotButton="0" quotePrefix="0" xfId="0">
      <alignment horizontal="center" vertical="center"/>
    </xf>
    <xf numFmtId="0" fontId="17" fillId="0" borderId="0" applyAlignment="1" pivotButton="0" quotePrefix="0" xfId="0">
      <alignment vertical="top"/>
    </xf>
    <xf numFmtId="0" fontId="19" fillId="0" borderId="6" applyAlignment="1" pivotButton="0" quotePrefix="0" xfId="0">
      <alignment horizontal="center"/>
    </xf>
    <xf numFmtId="0" fontId="19" fillId="0" borderId="7" pivotButton="0" quotePrefix="0" xfId="0"/>
    <xf numFmtId="0" fontId="19" fillId="0" borderId="0" pivotButton="0" quotePrefix="0" xfId="0"/>
    <xf numFmtId="0" fontId="19" fillId="0" borderId="10" pivotButton="0" quotePrefix="0" xfId="0"/>
    <xf numFmtId="0" fontId="19" fillId="0" borderId="0" applyAlignment="1" pivotButton="0" quotePrefix="0" xfId="0">
      <alignment horizontal="left"/>
    </xf>
    <xf numFmtId="0" fontId="19" fillId="0" borderId="9" applyAlignment="1" pivotButton="0" quotePrefix="0" xfId="0">
      <alignment horizontal="center"/>
    </xf>
    <xf numFmtId="0" fontId="18" fillId="0" borderId="9" pivotButton="0" quotePrefix="0" xfId="0"/>
    <xf numFmtId="0" fontId="18" fillId="0" borderId="0" applyAlignment="1" pivotButton="0" quotePrefix="0" xfId="0">
      <alignment horizontal="left"/>
    </xf>
    <xf numFmtId="0" fontId="18" fillId="0" borderId="0" pivotButton="0" quotePrefix="0" xfId="0"/>
    <xf numFmtId="0" fontId="18" fillId="0" borderId="10" pivotButton="0" quotePrefix="0" xfId="0"/>
    <xf numFmtId="0" fontId="18" fillId="0" borderId="12" pivotButton="0" quotePrefix="0" xfId="0"/>
    <xf numFmtId="0" fontId="18" fillId="0" borderId="3" applyAlignment="1" pivotButton="0" quotePrefix="0" xfId="0">
      <alignment horizontal="left"/>
    </xf>
    <xf numFmtId="0" fontId="18" fillId="0" borderId="3" pivotButton="0" quotePrefix="0" xfId="0"/>
    <xf numFmtId="0" fontId="18" fillId="0" borderId="2" pivotButton="0" quotePrefix="0" xfId="0"/>
    <xf numFmtId="0" fontId="3" fillId="0" borderId="10" pivotButton="0" quotePrefix="0" xfId="0"/>
    <xf numFmtId="0" fontId="22" fillId="0" borderId="9" pivotButton="0" quotePrefix="0" xfId="0"/>
    <xf numFmtId="0" fontId="22" fillId="0" borderId="0" pivotButton="0" quotePrefix="0" xfId="0"/>
    <xf numFmtId="0" fontId="24" fillId="0" borderId="0" pivotButton="0" quotePrefix="0" xfId="0"/>
    <xf numFmtId="0" fontId="22" fillId="0" borderId="0" applyAlignment="1" pivotButton="0" quotePrefix="0" xfId="0">
      <alignment horizontal="center"/>
    </xf>
    <xf numFmtId="0" fontId="22" fillId="0" borderId="10" pivotButton="0" quotePrefix="0" xfId="0"/>
    <xf numFmtId="0" fontId="25" fillId="0" borderId="9" applyAlignment="1" pivotButton="0" quotePrefix="0" xfId="0">
      <alignment vertical="top"/>
    </xf>
    <xf numFmtId="0" fontId="20" fillId="0" borderId="9" pivotButton="0" quotePrefix="0" xfId="0"/>
    <xf numFmtId="0" fontId="27" fillId="0" borderId="9" applyAlignment="1" pivotButton="0" quotePrefix="0" xfId="0">
      <alignment horizontal="center" vertical="center"/>
    </xf>
    <xf numFmtId="0" fontId="27" fillId="0" borderId="0" applyAlignment="1" pivotButton="0" quotePrefix="0" xfId="0">
      <alignment horizontal="center" vertical="center"/>
    </xf>
    <xf numFmtId="0" fontId="24" fillId="0" borderId="0" applyAlignment="1" pivotButton="0" quotePrefix="0" xfId="0">
      <alignment horizontal="center" vertical="center"/>
    </xf>
    <xf numFmtId="0" fontId="24" fillId="0" borderId="10" applyAlignment="1" pivotButton="0" quotePrefix="0" xfId="0">
      <alignment horizontal="center" vertical="center"/>
    </xf>
    <xf numFmtId="0" fontId="24" fillId="0" borderId="12" applyAlignment="1" pivotButton="0" quotePrefix="0" xfId="0">
      <alignment horizontal="center" vertical="center"/>
    </xf>
    <xf numFmtId="0" fontId="24" fillId="0" borderId="3" applyAlignment="1" pivotButton="0" quotePrefix="0" xfId="0">
      <alignment horizontal="center" vertical="center"/>
    </xf>
    <xf numFmtId="0" fontId="24" fillId="0" borderId="2" applyAlignment="1" pivotButton="0" quotePrefix="0" xfId="0">
      <alignment horizontal="center" vertical="center"/>
    </xf>
    <xf numFmtId="0" fontId="1" fillId="0" borderId="26" pivotButton="0" quotePrefix="0" xfId="2"/>
    <xf numFmtId="0" fontId="0" fillId="0" borderId="0" applyAlignment="1" pivotButton="0" quotePrefix="0" xfId="0">
      <alignment horizontal="left"/>
    </xf>
    <xf numFmtId="0" fontId="16" fillId="0" borderId="9" pivotButton="0" quotePrefix="0" xfId="0"/>
    <xf numFmtId="0" fontId="16" fillId="0" borderId="10" pivotButton="0" quotePrefix="0" xfId="0"/>
    <xf numFmtId="0" fontId="19" fillId="0" borderId="7" applyAlignment="1" pivotButton="0" quotePrefix="0" xfId="0">
      <alignment horizontal="center"/>
    </xf>
    <xf numFmtId="0" fontId="17" fillId="0" borderId="0" applyAlignment="1" pivotButton="0" quotePrefix="0" xfId="0">
      <alignment horizontal="center" vertical="top"/>
    </xf>
    <xf numFmtId="0" fontId="19" fillId="0" borderId="0" applyAlignment="1" pivotButton="0" quotePrefix="0" xfId="0">
      <alignment horizontal="center"/>
    </xf>
    <xf numFmtId="0" fontId="16" fillId="0" borderId="0" applyAlignment="1" pivotButton="0" quotePrefix="0" xfId="0">
      <alignment horizontal="center"/>
    </xf>
    <xf numFmtId="0" fontId="18" fillId="0" borderId="0" applyAlignment="1" pivotButton="0" quotePrefix="0" xfId="0">
      <alignment horizontal="center"/>
    </xf>
    <xf numFmtId="0" fontId="18" fillId="0" borderId="3" applyAlignment="1" pivotButton="0" quotePrefix="0" xfId="0">
      <alignment horizontal="center"/>
    </xf>
    <xf numFmtId="0" fontId="3" fillId="0" borderId="0" applyAlignment="1" pivotButton="0" quotePrefix="0" xfId="0">
      <alignment horizontal="center"/>
    </xf>
    <xf numFmtId="0" fontId="4" fillId="0" borderId="6" pivotButton="0" quotePrefix="0" xfId="0"/>
    <xf numFmtId="0" fontId="4" fillId="0" borderId="7" pivotButton="0" quotePrefix="0" xfId="0"/>
    <xf numFmtId="0" fontId="4" fillId="0" borderId="8" pivotButton="0" quotePrefix="0" xfId="0"/>
    <xf numFmtId="0" fontId="0" fillId="0" borderId="0" applyAlignment="1" pivotButton="0" quotePrefix="0" xfId="0">
      <alignment vertical="center"/>
    </xf>
    <xf numFmtId="0" fontId="4" fillId="0" borderId="60" applyAlignment="1" pivotButton="0" quotePrefix="0" xfId="0">
      <alignment horizontal="center" vertical="center"/>
    </xf>
    <xf numFmtId="0" fontId="3" fillId="0" borderId="0" applyAlignment="1" pivotButton="0" quotePrefix="0" xfId="0">
      <alignment vertical="center"/>
    </xf>
    <xf numFmtId="0" fontId="7" fillId="0" borderId="9" pivotButton="0" quotePrefix="0" xfId="0"/>
    <xf numFmtId="0" fontId="13" fillId="0" borderId="0" applyAlignment="1" pivotButton="0" quotePrefix="0" xfId="0">
      <alignment horizontal="center"/>
    </xf>
    <xf numFmtId="0" fontId="44" fillId="0" borderId="11" pivotButton="0" quotePrefix="0" xfId="2"/>
    <xf numFmtId="0" fontId="44" fillId="0" borderId="14" applyAlignment="1" pivotButton="0" quotePrefix="0" xfId="2">
      <alignment horizontal="center" vertical="center"/>
    </xf>
    <xf numFmtId="0" fontId="42" fillId="0" borderId="11" applyAlignment="1" pivotButton="0" quotePrefix="0" xfId="2">
      <alignment horizontal="center" vertical="center" wrapText="1"/>
    </xf>
    <xf numFmtId="0" fontId="42" fillId="0" borderId="14" applyAlignment="1" pivotButton="0" quotePrefix="0" xfId="2">
      <alignment horizontal="center" vertical="center" wrapText="1"/>
    </xf>
    <xf numFmtId="0" fontId="7" fillId="0" borderId="11" applyAlignment="1" pivotButton="0" quotePrefix="0" xfId="0">
      <alignment horizontal="center" vertical="center"/>
    </xf>
    <xf numFmtId="0" fontId="44" fillId="0" borderId="14" applyAlignment="1" pivotButton="0" quotePrefix="0" xfId="2">
      <alignment horizontal="center" vertical="center" wrapText="1"/>
    </xf>
    <xf numFmtId="0" fontId="44" fillId="0" borderId="11" applyAlignment="1" pivotButton="0" quotePrefix="0" xfId="2">
      <alignment horizontal="center" vertical="center" wrapText="1"/>
    </xf>
    <xf numFmtId="0" fontId="44" fillId="0" borderId="11" applyAlignment="1" pivotButton="0" quotePrefix="0" xfId="2">
      <alignment horizontal="center" vertical="center" textRotation="90" wrapText="1"/>
    </xf>
    <xf numFmtId="0" fontId="44" fillId="11" borderId="14" applyAlignment="1" pivotButton="0" quotePrefix="0" xfId="2">
      <alignment horizontal="center" vertical="center" wrapText="1"/>
    </xf>
    <xf numFmtId="0" fontId="45" fillId="11" borderId="11" applyAlignment="1" pivotButton="0" quotePrefix="0" xfId="2">
      <alignment horizontal="center" vertical="center" wrapText="1"/>
    </xf>
    <xf numFmtId="0" fontId="44" fillId="12" borderId="14" applyAlignment="1" pivotButton="0" quotePrefix="0" xfId="2">
      <alignment horizontal="center" vertical="center" wrapText="1"/>
    </xf>
    <xf numFmtId="0" fontId="42" fillId="12" borderId="11" applyAlignment="1" pivotButton="0" quotePrefix="0" xfId="2">
      <alignment horizontal="center" vertical="center" wrapText="1"/>
    </xf>
    <xf numFmtId="0" fontId="44" fillId="13" borderId="14" applyAlignment="1" pivotButton="0" quotePrefix="0" xfId="2">
      <alignment horizontal="center" vertical="center" wrapText="1"/>
    </xf>
    <xf numFmtId="0" fontId="45" fillId="13" borderId="11" applyAlignment="1" pivotButton="0" quotePrefix="0" xfId="2">
      <alignment horizontal="center" vertical="center" wrapText="1"/>
    </xf>
    <xf numFmtId="0" fontId="44" fillId="14" borderId="14" applyAlignment="1" pivotButton="0" quotePrefix="0" xfId="2">
      <alignment horizontal="center" vertical="center" wrapText="1"/>
    </xf>
    <xf numFmtId="0" fontId="42" fillId="14" borderId="11" applyAlignment="1" pivotButton="0" quotePrefix="0" xfId="2">
      <alignment horizontal="center" vertical="center" wrapText="1"/>
    </xf>
    <xf numFmtId="0" fontId="42" fillId="15" borderId="14" applyAlignment="1" pivotButton="0" quotePrefix="0" xfId="2">
      <alignment horizontal="center" vertical="center" wrapText="1"/>
    </xf>
    <xf numFmtId="0" fontId="42" fillId="15" borderId="11" applyAlignment="1" pivotButton="0" quotePrefix="0" xfId="2">
      <alignment horizontal="center" vertical="center" wrapText="1"/>
    </xf>
    <xf numFmtId="0" fontId="42" fillId="16" borderId="14" applyAlignment="1" pivotButton="0" quotePrefix="0" xfId="2">
      <alignment horizontal="center" vertical="center" wrapText="1"/>
    </xf>
    <xf numFmtId="0" fontId="42" fillId="16" borderId="11" applyAlignment="1" pivotButton="0" quotePrefix="0" xfId="2">
      <alignment horizontal="center" vertical="center" wrapText="1"/>
    </xf>
    <xf numFmtId="0" fontId="44" fillId="14" borderId="11" applyAlignment="1" pivotButton="0" quotePrefix="0" xfId="2">
      <alignment horizontal="center" vertical="center" wrapText="1"/>
    </xf>
    <xf numFmtId="0" fontId="42" fillId="0" borderId="61" applyAlignment="1" pivotButton="0" quotePrefix="0" xfId="2">
      <alignment horizontal="center" vertical="center" wrapText="1"/>
    </xf>
    <xf numFmtId="0" fontId="42" fillId="0" borderId="59" applyAlignment="1" pivotButton="0" quotePrefix="0" xfId="2">
      <alignment horizontal="center" vertical="center" wrapText="1"/>
    </xf>
    <xf numFmtId="0" fontId="25" fillId="0" borderId="0" applyAlignment="1" pivotButton="0" quotePrefix="0" xfId="0">
      <alignment vertical="top"/>
    </xf>
    <xf numFmtId="0" fontId="15" fillId="0" borderId="6" pivotButton="0" quotePrefix="0" xfId="0"/>
    <xf numFmtId="0" fontId="15" fillId="0" borderId="7" applyAlignment="1" pivotButton="0" quotePrefix="0" xfId="0">
      <alignment horizontal="left"/>
    </xf>
    <xf numFmtId="0" fontId="15" fillId="0" borderId="7" applyAlignment="1" pivotButton="0" quotePrefix="0" xfId="0">
      <alignment horizontal="center"/>
    </xf>
    <xf numFmtId="0" fontId="15" fillId="0" borderId="7" pivotButton="0" quotePrefix="0" xfId="0"/>
    <xf numFmtId="0" fontId="15" fillId="0" borderId="8" pivotButton="0" quotePrefix="0" xfId="0"/>
    <xf numFmtId="0" fontId="15" fillId="0" borderId="9" pivotButton="0" quotePrefix="0" xfId="0"/>
    <xf numFmtId="0" fontId="15" fillId="0" borderId="0" applyAlignment="1" pivotButton="0" quotePrefix="0" xfId="0">
      <alignment horizontal="left"/>
    </xf>
    <xf numFmtId="0" fontId="15" fillId="0" borderId="0" applyAlignment="1" pivotButton="0" quotePrefix="0" xfId="0">
      <alignment horizontal="center"/>
    </xf>
    <xf numFmtId="0" fontId="15" fillId="0" borderId="0" pivotButton="0" quotePrefix="0" xfId="0"/>
    <xf numFmtId="0" fontId="15" fillId="0" borderId="10" pivotButton="0" quotePrefix="0" xfId="0"/>
    <xf numFmtId="0" fontId="47" fillId="0" borderId="0" pivotButton="0" quotePrefix="0" xfId="0"/>
    <xf numFmtId="0" fontId="22" fillId="0" borderId="0" applyAlignment="1" pivotButton="0" quotePrefix="0" xfId="0">
      <alignment horizontal="left" vertical="center"/>
    </xf>
    <xf numFmtId="0" fontId="47" fillId="0" borderId="10" pivotButton="0" quotePrefix="0" xfId="0"/>
    <xf numFmtId="0" fontId="22" fillId="0" borderId="10" applyAlignment="1" pivotButton="0" quotePrefix="0" xfId="0">
      <alignment horizontal="left" vertical="center"/>
    </xf>
    <xf numFmtId="0" fontId="2" fillId="0" borderId="10" pivotButton="0" quotePrefix="0" xfId="0"/>
    <xf numFmtId="0" fontId="22" fillId="0" borderId="10" applyAlignment="1" pivotButton="0" quotePrefix="0" xfId="0">
      <alignment horizontal="center"/>
    </xf>
    <xf numFmtId="0" fontId="19" fillId="0" borderId="0" applyAlignment="1" pivotButton="0" quotePrefix="0" xfId="0">
      <alignment horizontal="center"/>
    </xf>
    <xf numFmtId="0" fontId="48" fillId="0" borderId="11" applyAlignment="1" pivotButton="0" quotePrefix="0" xfId="0">
      <alignment horizontal="center" vertical="center" wrapText="1"/>
    </xf>
    <xf numFmtId="0" fontId="22" fillId="0" borderId="0" pivotButton="0" quotePrefix="0" xfId="0"/>
    <xf numFmtId="0" fontId="22" fillId="0" borderId="0" applyAlignment="1" pivotButton="0" quotePrefix="0" xfId="0">
      <alignment horizontal="center"/>
    </xf>
    <xf numFmtId="0" fontId="47" fillId="0" borderId="0" pivotButton="0" quotePrefix="0" xfId="0"/>
    <xf numFmtId="0" fontId="22" fillId="0" borderId="0" applyAlignment="1" pivotButton="0" quotePrefix="0" xfId="0">
      <alignment horizontal="left" vertical="center"/>
    </xf>
    <xf numFmtId="0" fontId="18" fillId="0" borderId="0" applyAlignment="1" pivotButton="0" quotePrefix="0" xfId="0">
      <alignment horizontal="center"/>
    </xf>
    <xf numFmtId="0" fontId="7" fillId="0" borderId="0" pivotButton="0" quotePrefix="0" xfId="0"/>
    <xf numFmtId="0" fontId="16" fillId="0" borderId="0" pivotButton="0" quotePrefix="0" xfId="0"/>
    <xf numFmtId="0" fontId="14" fillId="0" borderId="0" pivotButton="0" quotePrefix="0" xfId="0"/>
    <xf numFmtId="0" fontId="3" fillId="0" borderId="0" pivotButton="0" quotePrefix="0" xfId="0"/>
    <xf numFmtId="0" fontId="17" fillId="0" borderId="0" applyAlignment="1" pivotButton="0" quotePrefix="0" xfId="0">
      <alignment vertical="top"/>
    </xf>
    <xf numFmtId="0" fontId="17" fillId="0" borderId="0" applyAlignment="1" pivotButton="0" quotePrefix="0" xfId="0">
      <alignment horizontal="center" vertical="top"/>
    </xf>
    <xf numFmtId="0" fontId="19" fillId="0" borderId="0" applyAlignment="1" pivotButton="0" quotePrefix="0" xfId="0">
      <alignment horizontal="left"/>
    </xf>
    <xf numFmtId="0" fontId="25" fillId="0" borderId="0" applyAlignment="1" pivotButton="0" quotePrefix="0" xfId="0">
      <alignment vertical="top"/>
    </xf>
    <xf numFmtId="0" fontId="19" fillId="0" borderId="0" pivotButton="0" quotePrefix="0" xfId="0"/>
    <xf numFmtId="0" fontId="16" fillId="0" borderId="0" applyAlignment="1" pivotButton="0" quotePrefix="0" xfId="0">
      <alignment horizontal="left"/>
    </xf>
    <xf numFmtId="0" fontId="16" fillId="0" borderId="0" applyAlignment="1" pivotButton="0" quotePrefix="0" xfId="0">
      <alignment horizontal="center"/>
    </xf>
    <xf numFmtId="0" fontId="7" fillId="0" borderId="62" applyAlignment="1" pivotButton="0" quotePrefix="0" xfId="0">
      <alignment horizontal="center" vertical="center"/>
    </xf>
    <xf numFmtId="0" fontId="49" fillId="0" borderId="11" applyAlignment="1" pivotButton="0" quotePrefix="0" xfId="0">
      <alignment horizontal="center" vertical="center"/>
    </xf>
    <xf numFmtId="0" fontId="50" fillId="0" borderId="11" applyAlignment="1" pivotButton="0" quotePrefix="0" xfId="2">
      <alignment horizontal="center" vertical="center"/>
    </xf>
    <xf numFmtId="0" fontId="50" fillId="0" borderId="11" applyAlignment="1" pivotButton="0" quotePrefix="0" xfId="2">
      <alignment horizontal="center" vertical="center" textRotation="90" wrapText="1"/>
    </xf>
    <xf numFmtId="0" fontId="50" fillId="0" borderId="11" applyAlignment="1" pivotButton="0" quotePrefix="0" xfId="2">
      <alignment horizontal="center" vertical="center" wrapText="1"/>
    </xf>
    <xf numFmtId="0" fontId="50" fillId="0" borderId="59" applyAlignment="1" pivotButton="0" quotePrefix="0" xfId="2">
      <alignment horizontal="center" vertical="center"/>
    </xf>
    <xf numFmtId="0" fontId="29" fillId="9" borderId="11" applyAlignment="1" pivotButton="0" quotePrefix="0" xfId="0">
      <alignment horizontal="center" vertical="center" wrapText="1"/>
    </xf>
    <xf numFmtId="0" fontId="55" fillId="9" borderId="11" applyAlignment="1" pivotButton="0" quotePrefix="0" xfId="0">
      <alignment horizontal="center" vertical="center"/>
    </xf>
    <xf numFmtId="0" fontId="58" fillId="0" borderId="0" pivotButton="0" quotePrefix="0" xfId="0"/>
    <xf numFmtId="0" fontId="20" fillId="0" borderId="63" pivotButton="0" quotePrefix="0" xfId="0"/>
    <xf numFmtId="0" fontId="21" fillId="0" borderId="63" applyAlignment="1" pivotButton="0" quotePrefix="0" xfId="0">
      <alignment horizontal="left" vertical="center"/>
    </xf>
    <xf numFmtId="0" fontId="21" fillId="0" borderId="63" applyAlignment="1" pivotButton="0" quotePrefix="0" xfId="0">
      <alignment horizontal="center" vertical="center"/>
    </xf>
    <xf numFmtId="0" fontId="22" fillId="0" borderId="63" pivotButton="0" quotePrefix="0" xfId="0"/>
    <xf numFmtId="0" fontId="14" fillId="0" borderId="63" pivotButton="0" quotePrefix="0" xfId="0"/>
    <xf numFmtId="0" fontId="21" fillId="5" borderId="63" applyAlignment="1" pivotButton="0" quotePrefix="0" xfId="0">
      <alignment horizontal="center" vertical="center"/>
    </xf>
    <xf numFmtId="0" fontId="20" fillId="5" borderId="63" applyAlignment="1" pivotButton="0" quotePrefix="0" xfId="0">
      <alignment horizontal="center" vertical="center" textRotation="90"/>
    </xf>
    <xf numFmtId="0" fontId="20" fillId="2" borderId="63" applyAlignment="1" pivotButton="0" quotePrefix="0" xfId="0">
      <alignment horizontal="center" vertical="center" textRotation="90"/>
    </xf>
    <xf numFmtId="0" fontId="20" fillId="2" borderId="63" applyAlignment="1" pivotButton="0" quotePrefix="0" xfId="0">
      <alignment horizontal="center" vertical="center" wrapText="1"/>
    </xf>
    <xf numFmtId="0" fontId="20" fillId="2" borderId="63" applyAlignment="1" pivotButton="0" quotePrefix="0" xfId="0">
      <alignment horizontal="center" vertical="center"/>
    </xf>
    <xf numFmtId="0" fontId="54" fillId="0" borderId="63" applyAlignment="1" pivotButton="0" quotePrefix="0" xfId="0">
      <alignment horizontal="center" vertical="center"/>
    </xf>
    <xf numFmtId="0" fontId="51" fillId="0" borderId="63" applyAlignment="1" pivotButton="0" quotePrefix="0" xfId="0">
      <alignment horizontal="center" vertical="center"/>
    </xf>
    <xf numFmtId="0" fontId="52" fillId="0" borderId="63" applyAlignment="1" pivotButton="0" quotePrefix="0" xfId="0">
      <alignment horizontal="center" vertical="center"/>
    </xf>
    <xf numFmtId="0" fontId="23" fillId="0" borderId="63" applyAlignment="1" pivotButton="0" quotePrefix="0" xfId="0">
      <alignment horizontal="center" vertical="center"/>
    </xf>
    <xf numFmtId="0" fontId="56" fillId="10" borderId="63" applyAlignment="1" pivotButton="0" quotePrefix="0" xfId="0">
      <alignment horizontal="center" vertical="center"/>
    </xf>
    <xf numFmtId="0" fontId="20" fillId="3" borderId="63" applyAlignment="1" pivotButton="0" quotePrefix="0" xfId="0">
      <alignment wrapText="1"/>
    </xf>
    <xf numFmtId="0" fontId="20" fillId="3" borderId="63" applyAlignment="1" pivotButton="0" quotePrefix="0" xfId="0">
      <alignment horizontal="left"/>
    </xf>
    <xf numFmtId="0" fontId="20" fillId="3" borderId="63" applyAlignment="1" pivotButton="0" quotePrefix="0" xfId="0">
      <alignment horizontal="center"/>
    </xf>
    <xf numFmtId="0" fontId="57" fillId="3" borderId="63" applyAlignment="1" pivotButton="0" quotePrefix="0" xfId="0">
      <alignment horizontal="center"/>
    </xf>
    <xf numFmtId="0" fontId="53" fillId="3" borderId="63" applyAlignment="1" pivotButton="0" quotePrefix="0" xfId="0">
      <alignment horizontal="center"/>
    </xf>
    <xf numFmtId="0" fontId="52" fillId="3" borderId="63" applyAlignment="1" pivotButton="0" quotePrefix="0" xfId="0">
      <alignment horizontal="center" vertical="center"/>
    </xf>
    <xf numFmtId="0" fontId="21" fillId="3" borderId="63" applyAlignment="1" pivotButton="0" quotePrefix="0" xfId="0">
      <alignment horizontal="center" vertical="center"/>
    </xf>
    <xf numFmtId="0" fontId="21" fillId="0" borderId="63" applyAlignment="1" pivotButton="0" quotePrefix="0" xfId="0">
      <alignment horizontal="left" vertical="center" wrapText="1"/>
    </xf>
    <xf numFmtId="0" fontId="21" fillId="0" borderId="63" applyAlignment="1" pivotButton="0" quotePrefix="0" xfId="0">
      <alignment horizontal="center" vertical="center" wrapText="1"/>
    </xf>
    <xf numFmtId="0" fontId="52" fillId="0" borderId="63" applyAlignment="1" pivotButton="0" quotePrefix="0" xfId="0">
      <alignment horizontal="center" vertical="center" wrapText="1"/>
    </xf>
    <xf numFmtId="0" fontId="21" fillId="6" borderId="63" applyAlignment="1" pivotButton="0" quotePrefix="0" xfId="0">
      <alignment horizontal="center" vertical="center"/>
    </xf>
    <xf numFmtId="0" fontId="21" fillId="10" borderId="63" applyAlignment="1" pivotButton="0" quotePrefix="0" xfId="0">
      <alignment horizontal="left" vertical="center" wrapText="1"/>
    </xf>
    <xf numFmtId="0" fontId="46" fillId="0" borderId="63" applyAlignment="1" pivotButton="0" quotePrefix="0" xfId="0">
      <alignment horizontal="center" vertical="center" wrapText="1"/>
    </xf>
    <xf numFmtId="0" fontId="18" fillId="0" borderId="63" applyAlignment="1" pivotButton="0" quotePrefix="0" xfId="0">
      <alignment horizontal="center"/>
    </xf>
    <xf numFmtId="0" fontId="22" fillId="0" borderId="63" applyAlignment="1" pivotButton="0" quotePrefix="0" xfId="0">
      <alignment horizontal="center" vertical="center"/>
    </xf>
    <xf numFmtId="0" fontId="0" fillId="0" borderId="63" applyAlignment="1" pivotButton="0" quotePrefix="0" xfId="0">
      <alignment horizontal="center"/>
    </xf>
    <xf numFmtId="0" fontId="18" fillId="0" borderId="63" applyAlignment="1" pivotButton="0" quotePrefix="0" xfId="0">
      <alignment horizontal="center" vertical="center" wrapText="1"/>
    </xf>
    <xf numFmtId="0" fontId="0" fillId="0" borderId="63" pivotButton="0" quotePrefix="0" xfId="0"/>
    <xf numFmtId="0" fontId="41" fillId="7" borderId="63" applyAlignment="1" pivotButton="0" quotePrefix="0" xfId="0">
      <alignment horizontal="center" vertical="center" wrapText="1"/>
    </xf>
    <xf numFmtId="0" fontId="40" fillId="7" borderId="63" applyAlignment="1" pivotButton="0" quotePrefix="0" xfId="0">
      <alignment horizontal="center" vertical="center" wrapText="1"/>
    </xf>
    <xf numFmtId="0" fontId="40" fillId="0" borderId="63" applyAlignment="1" pivotButton="0" quotePrefix="0" xfId="0">
      <alignment horizontal="center" vertical="center" wrapText="1"/>
    </xf>
    <xf numFmtId="0" fontId="21" fillId="0" borderId="63" applyAlignment="1" pivotButton="0" quotePrefix="0" xfId="0">
      <alignment horizontal="center" vertical="center"/>
    </xf>
    <xf numFmtId="0" fontId="3" fillId="0" borderId="9" pivotButton="0" quotePrefix="0" xfId="0"/>
    <xf numFmtId="0" fontId="21" fillId="5" borderId="63" applyAlignment="1" pivotButton="0" quotePrefix="0" xfId="0">
      <alignment horizontal="center" vertical="center" wrapText="1"/>
    </xf>
    <xf numFmtId="0" fontId="29" fillId="0" borderId="63" applyAlignment="1" pivotButton="0" quotePrefix="0" xfId="0">
      <alignment horizontal="center" vertical="center"/>
    </xf>
    <xf numFmtId="0" fontId="25" fillId="0" borderId="0" applyAlignment="1" pivotButton="0" quotePrefix="0" xfId="0">
      <alignment horizontal="center" vertical="top"/>
    </xf>
    <xf numFmtId="0" fontId="25" fillId="0" borderId="0" applyAlignment="1" pivotButton="0" quotePrefix="0" xfId="0">
      <alignment horizontal="center" vertical="top"/>
    </xf>
    <xf numFmtId="0" fontId="21" fillId="0" borderId="63" applyAlignment="1" pivotButton="0" quotePrefix="0" xfId="0">
      <alignment horizontal="center" vertical="center"/>
    </xf>
    <xf numFmtId="0" fontId="25" fillId="0" borderId="0" applyAlignment="1" pivotButton="0" quotePrefix="0" xfId="0">
      <alignment horizontal="center" vertical="top" wrapText="1"/>
    </xf>
    <xf numFmtId="0" fontId="59" fillId="10" borderId="63" applyAlignment="1" pivotButton="0" quotePrefix="0" xfId="0">
      <alignment horizontal="center" vertical="center"/>
    </xf>
    <xf numFmtId="0" fontId="21" fillId="10" borderId="63" applyAlignment="1" pivotButton="0" quotePrefix="0" xfId="0">
      <alignment horizontal="center" vertical="center" wrapText="1"/>
    </xf>
    <xf numFmtId="0" fontId="60" fillId="10" borderId="63" applyAlignment="1" pivotButton="0" quotePrefix="0" xfId="0">
      <alignment horizontal="center" vertical="center"/>
    </xf>
    <xf numFmtId="0" fontId="59" fillId="10" borderId="11" applyAlignment="1" pivotButton="0" quotePrefix="0" xfId="0">
      <alignment horizontal="center" vertical="center"/>
    </xf>
    <xf numFmtId="0" fontId="19" fillId="4" borderId="63" applyAlignment="1" pivotButton="0" quotePrefix="0" xfId="0">
      <alignment horizontal="center" vertical="center"/>
    </xf>
    <xf numFmtId="0" fontId="61" fillId="5" borderId="63" applyAlignment="1" pivotButton="0" quotePrefix="0" xfId="0">
      <alignment horizontal="center" vertical="center" textRotation="90" wrapText="1"/>
    </xf>
    <xf numFmtId="0" fontId="19" fillId="4" borderId="63" applyAlignment="1" pivotButton="0" quotePrefix="0" xfId="0">
      <alignment horizontal="center" vertical="center" wrapText="1"/>
    </xf>
    <xf numFmtId="0" fontId="59" fillId="0" borderId="11" applyAlignment="1" pivotButton="0" quotePrefix="0" xfId="0">
      <alignment horizontal="center" vertical="center"/>
    </xf>
    <xf numFmtId="0" fontId="44" fillId="0" borderId="14" pivotButton="0" quotePrefix="0" xfId="2"/>
    <xf numFmtId="0" fontId="7" fillId="9" borderId="11" applyAlignment="1" pivotButton="0" quotePrefix="0" xfId="0">
      <alignment horizontal="center" vertical="center"/>
    </xf>
    <xf numFmtId="0" fontId="21" fillId="0" borderId="63" applyAlignment="1" pivotButton="0" quotePrefix="0" xfId="0">
      <alignment horizontal="center" vertical="center"/>
    </xf>
    <xf numFmtId="15" fontId="59" fillId="10" borderId="63" applyAlignment="1" pivotButton="0" quotePrefix="0" xfId="0">
      <alignment horizontal="center" vertical="center"/>
    </xf>
    <xf numFmtId="0" fontId="59" fillId="10" borderId="63" applyAlignment="1" pivotButton="0" quotePrefix="0" xfId="0">
      <alignment horizontal="center" vertical="center" wrapText="1"/>
    </xf>
    <xf numFmtId="164" fontId="59" fillId="10" borderId="63" applyAlignment="1" pivotButton="0" quotePrefix="0" xfId="0">
      <alignment horizontal="center" vertical="center" wrapText="1"/>
    </xf>
    <xf numFmtId="0" fontId="62" fillId="10" borderId="63" applyAlignment="1" pivotButton="0" quotePrefix="0" xfId="0">
      <alignment horizontal="center" vertical="center" wrapText="1"/>
    </xf>
    <xf numFmtId="15" fontId="59" fillId="10" borderId="63" applyAlignment="1" pivotButton="0" quotePrefix="0" xfId="0">
      <alignment horizontal="center" vertical="center" wrapText="1"/>
    </xf>
    <xf numFmtId="0" fontId="59" fillId="9" borderId="11" applyAlignment="1" pivotButton="0" quotePrefix="0" xfId="0">
      <alignment horizontal="center" vertical="center"/>
    </xf>
    <xf numFmtId="0" fontId="60" fillId="5" borderId="63" applyAlignment="1" pivotButton="0" quotePrefix="0" xfId="0">
      <alignment horizontal="center" vertical="center" textRotation="90" wrapText="1"/>
    </xf>
    <xf numFmtId="0" fontId="56" fillId="10" borderId="63" applyAlignment="1" pivotButton="0" quotePrefix="0" xfId="0">
      <alignment horizontal="center" vertical="center" wrapText="1"/>
    </xf>
    <xf numFmtId="0" fontId="56" fillId="0" borderId="63" applyAlignment="1" pivotButton="0" quotePrefix="0" xfId="0">
      <alignment horizontal="center" vertical="center" wrapText="1"/>
    </xf>
    <xf numFmtId="0" fontId="56" fillId="0" borderId="63" applyAlignment="1" pivotButton="0" quotePrefix="0" xfId="0">
      <alignment horizontal="center" vertical="center"/>
    </xf>
    <xf numFmtId="0" fontId="18" fillId="5" borderId="63" applyAlignment="1" pivotButton="0" quotePrefix="0" xfId="0">
      <alignment horizontal="center" vertical="center" textRotation="90" wrapText="1"/>
    </xf>
    <xf numFmtId="0" fontId="18" fillId="0" borderId="11" applyAlignment="1" pivotButton="0" quotePrefix="0" xfId="0">
      <alignment horizontal="center" vertical="center" wrapText="1"/>
    </xf>
    <xf numFmtId="0" fontId="63" fillId="10" borderId="63" applyAlignment="1" pivotButton="0" quotePrefix="0" xfId="0">
      <alignment horizontal="center" vertical="center"/>
    </xf>
    <xf numFmtId="0" fontId="40" fillId="8" borderId="63" applyAlignment="1" pivotButton="0" quotePrefix="0" xfId="0">
      <alignment horizontal="center" vertical="center" wrapText="1"/>
    </xf>
    <xf numFmtId="0" fontId="64" fillId="0" borderId="11" applyAlignment="1" pivotButton="0" quotePrefix="0" xfId="0">
      <alignment horizontal="center" vertical="center"/>
    </xf>
    <xf numFmtId="0" fontId="65" fillId="10" borderId="63" applyAlignment="1" pivotButton="0" quotePrefix="0" xfId="0">
      <alignment horizontal="center" vertical="center" wrapText="1"/>
    </xf>
    <xf numFmtId="0" fontId="63" fillId="9" borderId="63" applyAlignment="1" pivotButton="0" quotePrefix="0" xfId="0">
      <alignment horizontal="center" vertical="center"/>
    </xf>
    <xf numFmtId="0" fontId="40" fillId="9" borderId="63" applyAlignment="1" pivotButton="0" quotePrefix="0" xfId="0">
      <alignment horizontal="center" vertical="center" wrapText="1"/>
    </xf>
    <xf numFmtId="0" fontId="21" fillId="0" borderId="63" applyAlignment="1" pivotButton="0" quotePrefix="0" xfId="0">
      <alignment horizontal="center" vertical="center"/>
    </xf>
    <xf numFmtId="0" fontId="42" fillId="0" borderId="11" applyAlignment="1" pivotButton="0" quotePrefix="0" xfId="2">
      <alignment horizontal="center" textRotation="90"/>
    </xf>
    <xf numFmtId="0" fontId="42" fillId="0" borderId="14" applyAlignment="1" pivotButton="0" quotePrefix="0" xfId="2">
      <alignment horizontal="left"/>
    </xf>
    <xf numFmtId="0" fontId="42" fillId="0" borderId="11" applyAlignment="1" pivotButton="0" quotePrefix="0" xfId="2">
      <alignment horizontal="left"/>
    </xf>
    <xf numFmtId="0" fontId="42" fillId="0" borderId="11" applyAlignment="1" pivotButton="0" quotePrefix="0" xfId="2">
      <alignment horizontal="center" vertical="center"/>
    </xf>
    <xf numFmtId="0" fontId="11" fillId="0" borderId="9" pivotButton="0" quotePrefix="0" xfId="0"/>
    <xf numFmtId="0" fontId="11" fillId="0" borderId="0" pivotButton="0" quotePrefix="0" xfId="0"/>
    <xf numFmtId="0" fontId="8" fillId="0" borderId="9" applyAlignment="1" pivotButton="0" quotePrefix="0" xfId="0">
      <alignment horizontal="center" vertical="center"/>
    </xf>
    <xf numFmtId="0" fontId="8" fillId="0" borderId="0" applyAlignment="1" pivotButton="0" quotePrefix="0" xfId="0">
      <alignment horizontal="center" vertical="center"/>
    </xf>
    <xf numFmtId="0" fontId="8" fillId="0" borderId="10" applyAlignment="1" pivotButton="0" quotePrefix="0" xfId="0">
      <alignment horizontal="center" vertical="center"/>
    </xf>
    <xf numFmtId="0" fontId="9" fillId="0" borderId="7" applyAlignment="1" pivotButton="0" quotePrefix="0" xfId="0">
      <alignment horizontal="center"/>
    </xf>
    <xf numFmtId="0" fontId="7" fillId="0" borderId="9" pivotButton="0" quotePrefix="0" xfId="0"/>
    <xf numFmtId="0" fontId="7" fillId="0" borderId="0" pivotButton="0" quotePrefix="0" xfId="0"/>
    <xf numFmtId="0" fontId="7" fillId="0" borderId="19" applyAlignment="1" pivotButton="0" quotePrefix="0" xfId="0">
      <alignment horizontal="center"/>
    </xf>
    <xf numFmtId="0" fontId="7" fillId="0" borderId="20" applyAlignment="1" pivotButton="0" quotePrefix="0" xfId="0">
      <alignment horizontal="center"/>
    </xf>
    <xf numFmtId="0" fontId="7" fillId="0" borderId="19" applyAlignment="1" pivotButton="0" quotePrefix="0" xfId="0">
      <alignment horizontal="left"/>
    </xf>
    <xf numFmtId="0" fontId="7" fillId="0" borderId="20" applyAlignment="1" pivotButton="0" quotePrefix="0" xfId="0">
      <alignment horizontal="left"/>
    </xf>
    <xf numFmtId="0" fontId="13" fillId="0" borderId="9" applyAlignment="1" pivotButton="0" quotePrefix="0" xfId="0">
      <alignment horizontal="center"/>
    </xf>
    <xf numFmtId="0" fontId="13" fillId="0" borderId="0" applyAlignment="1" pivotButton="0" quotePrefix="0" xfId="0">
      <alignment horizontal="center"/>
    </xf>
    <xf numFmtId="0" fontId="13" fillId="0" borderId="10" applyAlignment="1" pivotButton="0" quotePrefix="0" xfId="0">
      <alignment horizontal="center"/>
    </xf>
    <xf numFmtId="0" fontId="28" fillId="3" borderId="5" applyAlignment="1" pivotButton="0" quotePrefix="0" xfId="0">
      <alignment horizontal="center" vertical="center"/>
    </xf>
    <xf numFmtId="0" fontId="28" fillId="3" borderId="4" applyAlignment="1" pivotButton="0" quotePrefix="0" xfId="0">
      <alignment horizontal="center" vertical="center"/>
    </xf>
    <xf numFmtId="0" fontId="28" fillId="3" borderId="1" applyAlignment="1" pivotButton="0" quotePrefix="0" xfId="0">
      <alignment horizontal="center" vertical="center"/>
    </xf>
    <xf numFmtId="0" fontId="22" fillId="0" borderId="6" applyAlignment="1" pivotButton="0" quotePrefix="0" xfId="0">
      <alignment horizontal="center" vertical="center" wrapText="1"/>
    </xf>
    <xf numFmtId="0" fontId="22" fillId="0" borderId="7" applyAlignment="1" pivotButton="0" quotePrefix="0" xfId="0">
      <alignment horizontal="center" vertical="center" wrapText="1"/>
    </xf>
    <xf numFmtId="0" fontId="22" fillId="0" borderId="8" applyAlignment="1" pivotButton="0" quotePrefix="0" xfId="0">
      <alignment horizontal="center" vertical="center" wrapText="1"/>
    </xf>
    <xf numFmtId="0" fontId="22" fillId="0" borderId="9"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10" applyAlignment="1" pivotButton="0" quotePrefix="0" xfId="0">
      <alignment horizontal="center" vertical="center" wrapText="1"/>
    </xf>
    <xf numFmtId="0" fontId="22" fillId="0" borderId="16" applyAlignment="1" pivotButton="0" quotePrefix="0" xfId="0">
      <alignment horizontal="center" vertical="center" wrapText="1"/>
    </xf>
    <xf numFmtId="0" fontId="22" fillId="0" borderId="15" applyAlignment="1" pivotButton="0" quotePrefix="0" xfId="0">
      <alignment horizontal="center" vertical="center" wrapText="1"/>
    </xf>
    <xf numFmtId="0" fontId="22" fillId="0" borderId="17" applyAlignment="1" pivotButton="0" quotePrefix="0" xfId="0">
      <alignment horizontal="center" vertical="center" wrapText="1"/>
    </xf>
    <xf numFmtId="0" fontId="22" fillId="0" borderId="63" applyAlignment="1" pivotButton="0" quotePrefix="0" xfId="0">
      <alignment horizontal="center" vertical="center"/>
    </xf>
    <xf numFmtId="0" fontId="21" fillId="0" borderId="63" applyAlignment="1" pivotButton="0" quotePrefix="0" xfId="0">
      <alignment horizontal="center" vertical="center"/>
    </xf>
    <xf numFmtId="0" fontId="26" fillId="3" borderId="5" applyAlignment="1" pivotButton="0" quotePrefix="0" xfId="0">
      <alignment horizontal="center" vertical="center"/>
    </xf>
    <xf numFmtId="0" fontId="26" fillId="3" borderId="4" applyAlignment="1" pivotButton="0" quotePrefix="0" xfId="0">
      <alignment horizontal="center" vertical="center"/>
    </xf>
    <xf numFmtId="0" fontId="26" fillId="3" borderId="1" applyAlignment="1" pivotButton="0" quotePrefix="0" xfId="0">
      <alignment horizontal="center" vertical="center"/>
    </xf>
    <xf numFmtId="0" fontId="25" fillId="0" borderId="7" applyAlignment="1" pivotButton="0" quotePrefix="0" xfId="0">
      <alignment horizontal="center" vertical="top" wrapText="1"/>
    </xf>
    <xf numFmtId="0" fontId="25" fillId="0" borderId="0" applyAlignment="1" pivotButton="0" quotePrefix="0" xfId="0">
      <alignment horizontal="center" vertical="top"/>
    </xf>
    <xf numFmtId="0" fontId="25" fillId="0" borderId="0" applyAlignment="1" pivotButton="0" quotePrefix="0" xfId="0">
      <alignment horizontal="center" vertical="top"/>
    </xf>
    <xf numFmtId="0" fontId="1" fillId="0" borderId="26" applyAlignment="1" pivotButton="0" quotePrefix="0" xfId="2">
      <alignment horizontal="center"/>
    </xf>
    <xf numFmtId="0" fontId="1" fillId="0" borderId="27" applyAlignment="1" pivotButton="0" quotePrefix="0" xfId="2">
      <alignment horizontal="center"/>
    </xf>
    <xf numFmtId="0" fontId="1" fillId="0" borderId="36" applyAlignment="1" pivotButton="0" quotePrefix="0" xfId="2">
      <alignment horizontal="center"/>
    </xf>
    <xf numFmtId="0" fontId="1" fillId="0" borderId="30" applyAlignment="1" pivotButton="0" quotePrefix="0" xfId="2">
      <alignment horizontal="center"/>
    </xf>
    <xf numFmtId="0" fontId="38" fillId="0" borderId="31" applyAlignment="1" pivotButton="0" quotePrefix="0" xfId="2">
      <alignment horizontal="center" vertical="top" wrapText="1"/>
    </xf>
    <xf numFmtId="0" fontId="38" fillId="0" borderId="33" applyAlignment="1" pivotButton="0" quotePrefix="0" xfId="2">
      <alignment horizontal="center" vertical="top"/>
    </xf>
    <xf numFmtId="0" fontId="38" fillId="0" borderId="37" applyAlignment="1" pivotButton="0" quotePrefix="0" xfId="2">
      <alignment horizontal="center" vertical="top"/>
    </xf>
    <xf numFmtId="0" fontId="38" fillId="0" borderId="10" applyAlignment="1" pivotButton="0" quotePrefix="0" xfId="2">
      <alignment horizontal="center" vertical="top"/>
    </xf>
    <xf numFmtId="0" fontId="38" fillId="0" borderId="57" applyAlignment="1" pivotButton="0" quotePrefix="0" xfId="2">
      <alignment horizontal="center" vertical="top"/>
    </xf>
    <xf numFmtId="0" fontId="38" fillId="0" borderId="2" applyAlignment="1" pivotButton="0" quotePrefix="0" xfId="2">
      <alignment horizontal="center" vertical="top"/>
    </xf>
    <xf numFmtId="0" fontId="35" fillId="0" borderId="26" applyAlignment="1" pivotButton="0" quotePrefix="0" xfId="2">
      <alignment horizontal="left" vertical="center"/>
    </xf>
    <xf numFmtId="0" fontId="35" fillId="0" borderId="27" applyAlignment="1" pivotButton="0" quotePrefix="0" xfId="2">
      <alignment horizontal="left" vertical="center"/>
    </xf>
    <xf numFmtId="0" fontId="35" fillId="0" borderId="28" applyAlignment="1" pivotButton="0" quotePrefix="0" xfId="2">
      <alignment horizontal="center" vertical="center"/>
    </xf>
    <xf numFmtId="0" fontId="35" fillId="0" borderId="29" applyAlignment="1" pivotButton="0" quotePrefix="0" xfId="2">
      <alignment horizontal="center" vertical="center"/>
    </xf>
    <xf numFmtId="0" fontId="35" fillId="0" borderId="30" applyAlignment="1" pivotButton="0" quotePrefix="0" xfId="2">
      <alignment horizontal="center" vertical="center"/>
    </xf>
    <xf numFmtId="0" fontId="1" fillId="0" borderId="51" applyAlignment="1" pivotButton="0" quotePrefix="0" xfId="2">
      <alignment horizontal="center"/>
    </xf>
    <xf numFmtId="0" fontId="1" fillId="0" borderId="52" applyAlignment="1" pivotButton="0" quotePrefix="0" xfId="2">
      <alignment horizontal="center"/>
    </xf>
    <xf numFmtId="0" fontId="1" fillId="0" borderId="54" applyAlignment="1" pivotButton="0" quotePrefix="0" xfId="2">
      <alignment horizontal="center"/>
    </xf>
    <xf numFmtId="0" fontId="1" fillId="0" borderId="55" applyAlignment="1" pivotButton="0" quotePrefix="0" xfId="2">
      <alignment horizontal="center"/>
    </xf>
    <xf numFmtId="0" fontId="39" fillId="0" borderId="53" applyAlignment="1" pivotButton="0" quotePrefix="0" xfId="2">
      <alignment horizontal="center"/>
    </xf>
    <xf numFmtId="0" fontId="39" fillId="0" borderId="56" applyAlignment="1" pivotButton="0" quotePrefix="0" xfId="2">
      <alignment horizontal="center"/>
    </xf>
    <xf numFmtId="0" fontId="1" fillId="0" borderId="46" applyAlignment="1" pivotButton="0" quotePrefix="0" xfId="2">
      <alignment horizontal="center"/>
    </xf>
    <xf numFmtId="0" fontId="1" fillId="0" borderId="47" applyAlignment="1" pivotButton="0" quotePrefix="0" xfId="2">
      <alignment horizontal="center"/>
    </xf>
    <xf numFmtId="0" fontId="1" fillId="0" borderId="48" applyAlignment="1" pivotButton="0" quotePrefix="0" xfId="2">
      <alignment horizontal="center"/>
    </xf>
    <xf numFmtId="0" fontId="36" fillId="0" borderId="46" applyAlignment="1" pivotButton="0" quotePrefix="0" xfId="2">
      <alignment horizontal="center" wrapText="1"/>
    </xf>
    <xf numFmtId="0" fontId="36" fillId="0" borderId="47" applyAlignment="1" pivotButton="0" quotePrefix="0" xfId="2">
      <alignment horizontal="center" wrapText="1"/>
    </xf>
    <xf numFmtId="0" fontId="36" fillId="0" borderId="48" applyAlignment="1" pivotButton="0" quotePrefix="0" xfId="2">
      <alignment horizontal="center" wrapText="1"/>
    </xf>
    <xf numFmtId="0" fontId="37" fillId="0" borderId="46" applyAlignment="1" pivotButton="0" quotePrefix="0" xfId="2">
      <alignment horizontal="center" vertical="top" wrapText="1"/>
    </xf>
    <xf numFmtId="0" fontId="37" fillId="0" borderId="47" applyAlignment="1" pivotButton="0" quotePrefix="0" xfId="2">
      <alignment horizontal="center" vertical="top" wrapText="1"/>
    </xf>
    <xf numFmtId="0" fontId="37" fillId="0" borderId="48" applyAlignment="1" pivotButton="0" quotePrefix="0" xfId="2">
      <alignment horizontal="center" vertical="top" wrapText="1"/>
    </xf>
    <xf numFmtId="0" fontId="1" fillId="0" borderId="49" applyAlignment="1" pivotButton="0" quotePrefix="0" xfId="2">
      <alignment horizontal="center"/>
    </xf>
    <xf numFmtId="0" fontId="1" fillId="0" borderId="50" applyAlignment="1" pivotButton="0" quotePrefix="0" xfId="2">
      <alignment horizontal="center"/>
    </xf>
    <xf numFmtId="0" fontId="35" fillId="0" borderId="26" applyAlignment="1" pivotButton="0" quotePrefix="0" xfId="2">
      <alignment horizontal="center"/>
    </xf>
    <xf numFmtId="0" fontId="35" fillId="0" borderId="27" applyAlignment="1" pivotButton="0" quotePrefix="0" xfId="2">
      <alignment horizontal="center"/>
    </xf>
    <xf numFmtId="0" fontId="35" fillId="0" borderId="36" applyAlignment="1" pivotButton="0" quotePrefix="0" xfId="2">
      <alignment horizontal="center"/>
    </xf>
    <xf numFmtId="0" fontId="35" fillId="0" borderId="49" applyAlignment="1" pivotButton="0" quotePrefix="0" xfId="2">
      <alignment horizontal="center"/>
    </xf>
    <xf numFmtId="0" fontId="35" fillId="0" borderId="50" applyAlignment="1" pivotButton="0" quotePrefix="0" xfId="2">
      <alignment horizontal="center"/>
    </xf>
    <xf numFmtId="0" fontId="0" fillId="0" borderId="34" applyAlignment="1" pivotButton="0" quotePrefix="0" xfId="2">
      <alignment horizontal="left" vertical="center" wrapText="1"/>
    </xf>
    <xf numFmtId="0" fontId="30" fillId="0" borderId="32" applyAlignment="1" pivotButton="0" quotePrefix="0" xfId="2">
      <alignment horizontal="left" vertical="center" wrapText="1"/>
    </xf>
    <xf numFmtId="0" fontId="30" fillId="0" borderId="33" applyAlignment="1" pivotButton="0" quotePrefix="0" xfId="2">
      <alignment horizontal="left" vertical="center" wrapText="1"/>
    </xf>
    <xf numFmtId="0" fontId="30" fillId="0" borderId="9" applyAlignment="1" pivotButton="0" quotePrefix="0" xfId="2">
      <alignment horizontal="left" vertical="center" wrapText="1"/>
    </xf>
    <xf numFmtId="0" fontId="30" fillId="0" borderId="0" applyAlignment="1" pivotButton="0" quotePrefix="0" xfId="2">
      <alignment horizontal="left" vertical="center" wrapText="1"/>
    </xf>
    <xf numFmtId="0" fontId="30" fillId="0" borderId="10" applyAlignment="1" pivotButton="0" quotePrefix="0" xfId="2">
      <alignment horizontal="left" vertical="center" wrapText="1"/>
    </xf>
    <xf numFmtId="0" fontId="30" fillId="0" borderId="39" applyAlignment="1" pivotButton="0" quotePrefix="0" xfId="2">
      <alignment horizontal="left" vertical="center" wrapText="1"/>
    </xf>
    <xf numFmtId="0" fontId="30" fillId="0" borderId="43" applyAlignment="1" pivotButton="0" quotePrefix="0" xfId="2">
      <alignment horizontal="left" vertical="center" wrapText="1"/>
    </xf>
    <xf numFmtId="0" fontId="30" fillId="0" borderId="44" applyAlignment="1" pivotButton="0" quotePrefix="0" xfId="2">
      <alignment horizontal="left" vertical="center" wrapText="1"/>
    </xf>
    <xf numFmtId="0" fontId="31" fillId="0" borderId="23" applyAlignment="1" pivotButton="0" quotePrefix="0" xfId="2">
      <alignment horizontal="center" vertical="center"/>
    </xf>
    <xf numFmtId="0" fontId="31" fillId="0" borderId="24" applyAlignment="1" pivotButton="0" quotePrefix="0" xfId="2">
      <alignment horizontal="center" vertical="center"/>
    </xf>
    <xf numFmtId="0" fontId="31" fillId="0" borderId="25" applyAlignment="1" pivotButton="0" quotePrefix="0" xfId="2">
      <alignment horizontal="center" vertical="center"/>
    </xf>
    <xf numFmtId="0" fontId="32" fillId="0" borderId="26" applyAlignment="1" pivotButton="0" quotePrefix="0" xfId="2">
      <alignment horizontal="left"/>
    </xf>
    <xf numFmtId="0" fontId="32" fillId="0" borderId="27" applyAlignment="1" pivotButton="0" quotePrefix="0" xfId="2">
      <alignment horizontal="left"/>
    </xf>
    <xf numFmtId="0" fontId="7" fillId="0" borderId="28" applyAlignment="1" pivotButton="0" quotePrefix="0" xfId="2">
      <alignment horizontal="center" vertical="top" wrapText="1"/>
    </xf>
    <xf numFmtId="0" fontId="33" fillId="0" borderId="29" applyAlignment="1" pivotButton="0" quotePrefix="0" xfId="2">
      <alignment horizontal="center" vertical="top" wrapText="1"/>
    </xf>
    <xf numFmtId="0" fontId="33" fillId="0" borderId="30" applyAlignment="1" pivotButton="0" quotePrefix="0" xfId="2">
      <alignment horizontal="center" vertical="top" wrapText="1"/>
    </xf>
    <xf numFmtId="0" fontId="7" fillId="0" borderId="31" applyAlignment="1" pivotButton="0" quotePrefix="0" xfId="2">
      <alignment horizontal="center" vertical="center" wrapText="1"/>
    </xf>
    <xf numFmtId="0" fontId="7" fillId="0" borderId="32" applyAlignment="1" pivotButton="0" quotePrefix="0" xfId="2">
      <alignment horizontal="center" vertical="center" wrapText="1"/>
    </xf>
    <xf numFmtId="0" fontId="7" fillId="0" borderId="33" applyAlignment="1" pivotButton="0" quotePrefix="0" xfId="2">
      <alignment horizontal="center" vertical="center" wrapText="1"/>
    </xf>
    <xf numFmtId="0" fontId="7" fillId="0" borderId="37" applyAlignment="1" pivotButton="0" quotePrefix="0" xfId="2">
      <alignment horizontal="center" vertical="center" wrapText="1"/>
    </xf>
    <xf numFmtId="0" fontId="7" fillId="0" borderId="0" applyAlignment="1" pivotButton="0" quotePrefix="0" xfId="2">
      <alignment horizontal="center" vertical="center" wrapText="1"/>
    </xf>
    <xf numFmtId="0" fontId="7" fillId="0" borderId="10" applyAlignment="1" pivotButton="0" quotePrefix="0" xfId="2">
      <alignment horizontal="center" vertical="center" wrapText="1"/>
    </xf>
    <xf numFmtId="0" fontId="7" fillId="0" borderId="42" applyAlignment="1" pivotButton="0" quotePrefix="0" xfId="2">
      <alignment horizontal="center" vertical="center" wrapText="1"/>
    </xf>
    <xf numFmtId="0" fontId="7" fillId="0" borderId="43" applyAlignment="1" pivotButton="0" quotePrefix="0" xfId="2">
      <alignment horizontal="center" vertical="center" wrapText="1"/>
    </xf>
    <xf numFmtId="0" fontId="7" fillId="0" borderId="44" applyAlignment="1" pivotButton="0" quotePrefix="0" xfId="2">
      <alignment horizontal="center" vertical="center" wrapText="1"/>
    </xf>
    <xf numFmtId="0" fontId="32" fillId="0" borderId="34" applyAlignment="1" pivotButton="0" quotePrefix="0" xfId="2">
      <alignment horizontal="left" vertical="center" wrapText="1"/>
    </xf>
    <xf numFmtId="0" fontId="32" fillId="0" borderId="35" applyAlignment="1" pivotButton="0" quotePrefix="0" xfId="2">
      <alignment horizontal="left" vertical="center" wrapText="1"/>
    </xf>
    <xf numFmtId="0" fontId="32" fillId="0" borderId="9" applyAlignment="1" pivotButton="0" quotePrefix="0" xfId="2">
      <alignment horizontal="left" vertical="center" wrapText="1"/>
    </xf>
    <xf numFmtId="0" fontId="32" fillId="0" borderId="38" applyAlignment="1" pivotButton="0" quotePrefix="0" xfId="2">
      <alignment horizontal="left" vertical="center" wrapText="1"/>
    </xf>
    <xf numFmtId="0" fontId="32" fillId="0" borderId="39" applyAlignment="1" pivotButton="0" quotePrefix="0" xfId="2">
      <alignment horizontal="left" vertical="center" wrapText="1"/>
    </xf>
    <xf numFmtId="0" fontId="32" fillId="0" borderId="40" applyAlignment="1" pivotButton="0" quotePrefix="0" xfId="2">
      <alignment horizontal="left" vertical="center" wrapText="1"/>
    </xf>
    <xf numFmtId="0" fontId="10" fillId="0" borderId="36" applyAlignment="1" pivotButton="0" quotePrefix="0" xfId="2">
      <alignment horizontal="center" vertical="center"/>
    </xf>
    <xf numFmtId="0" fontId="34" fillId="0" borderId="36" applyAlignment="1" pivotButton="0" quotePrefix="0" xfId="2">
      <alignment horizontal="center" vertical="center"/>
    </xf>
    <xf numFmtId="0" fontId="32" fillId="0" borderId="41" applyAlignment="1" pivotButton="0" quotePrefix="0" xfId="2">
      <alignment horizontal="left" vertical="center" wrapText="1"/>
    </xf>
    <xf numFmtId="0" fontId="32" fillId="0" borderId="30" applyAlignment="1" pivotButton="0" quotePrefix="0" xfId="2">
      <alignment horizontal="left" vertical="center" wrapText="1"/>
    </xf>
    <xf numFmtId="0" fontId="35" fillId="0" borderId="28" applyAlignment="1" pivotButton="0" quotePrefix="0" xfId="2">
      <alignment horizontal="center"/>
    </xf>
    <xf numFmtId="0" fontId="35" fillId="0" borderId="29" applyAlignment="1" pivotButton="0" quotePrefix="0" xfId="2">
      <alignment horizontal="center"/>
    </xf>
    <xf numFmtId="0" fontId="35" fillId="0" borderId="30" applyAlignment="1" pivotButton="0" quotePrefix="0" xfId="2">
      <alignment horizontal="center"/>
    </xf>
    <xf numFmtId="0" fontId="7" fillId="0" borderId="28" applyAlignment="1" pivotButton="0" quotePrefix="0" xfId="2">
      <alignment horizontal="center" wrapText="1"/>
    </xf>
    <xf numFmtId="0" fontId="7" fillId="0" borderId="29" applyAlignment="1" pivotButton="0" quotePrefix="0" xfId="2">
      <alignment horizontal="center"/>
    </xf>
    <xf numFmtId="0" fontId="7" fillId="0" borderId="30" applyAlignment="1" pivotButton="0" quotePrefix="0" xfId="2">
      <alignment horizontal="center"/>
    </xf>
    <xf numFmtId="0" fontId="7" fillId="0" borderId="28" applyAlignment="1" pivotButton="0" quotePrefix="0" xfId="2">
      <alignment horizontal="left" vertical="center"/>
    </xf>
    <xf numFmtId="0" fontId="7" fillId="0" borderId="29" applyAlignment="1" pivotButton="0" quotePrefix="0" xfId="2">
      <alignment horizontal="left" vertical="center"/>
    </xf>
    <xf numFmtId="0" fontId="7" fillId="0" borderId="45" applyAlignment="1" pivotButton="0" quotePrefix="0" xfId="2">
      <alignment horizontal="left" vertical="center"/>
    </xf>
    <xf numFmtId="0" fontId="7" fillId="0" borderId="28" applyAlignment="1" pivotButton="0" quotePrefix="0" xfId="2">
      <alignment horizontal="center" vertical="center"/>
    </xf>
    <xf numFmtId="0" fontId="7" fillId="0" borderId="29" applyAlignment="1" pivotButton="0" quotePrefix="0" xfId="2">
      <alignment horizontal="center" vertical="center"/>
    </xf>
    <xf numFmtId="0" fontId="7" fillId="0" borderId="45" applyAlignment="1" pivotButton="0" quotePrefix="0" xfId="2">
      <alignment horizontal="center" vertical="center"/>
    </xf>
    <xf numFmtId="0" fontId="32" fillId="0" borderId="46" applyAlignment="1" pivotButton="0" quotePrefix="0" xfId="2">
      <alignment horizontal="center"/>
    </xf>
    <xf numFmtId="0" fontId="32" fillId="0" borderId="47" applyAlignment="1" pivotButton="0" quotePrefix="0" xfId="2">
      <alignment horizontal="center"/>
    </xf>
    <xf numFmtId="0" fontId="32" fillId="0" borderId="48" applyAlignment="1" pivotButton="0" quotePrefix="0" xfId="2">
      <alignment horizontal="center"/>
    </xf>
    <xf numFmtId="0" fontId="42" fillId="0" borderId="64" applyAlignment="1" pivotButton="0" quotePrefix="0" xfId="2">
      <alignment horizontal="left"/>
    </xf>
    <xf numFmtId="0" fontId="42" fillId="0" borderId="13" applyAlignment="1" pivotButton="0" quotePrefix="0" xfId="2">
      <alignment horizontal="left"/>
    </xf>
    <xf numFmtId="0" fontId="13" fillId="0" borderId="65" applyAlignment="1" pivotButton="0" quotePrefix="0" xfId="2">
      <alignment horizontal="center"/>
    </xf>
    <xf numFmtId="0" fontId="13" fillId="0" borderId="66" applyAlignment="1" pivotButton="0" quotePrefix="0" xfId="2">
      <alignment horizontal="center"/>
    </xf>
    <xf numFmtId="0" fontId="42" fillId="0" borderId="13" applyAlignment="1" pivotButton="0" quotePrefix="0" xfId="2">
      <alignment horizontal="center" vertical="center"/>
    </xf>
    <xf numFmtId="0" fontId="42" fillId="0" borderId="67" applyAlignment="1" pivotButton="0" quotePrefix="0" xfId="2">
      <alignment horizontal="center" vertical="center"/>
    </xf>
    <xf numFmtId="0" fontId="42" fillId="0" borderId="11" applyAlignment="1" pivotButton="0" quotePrefix="0" xfId="2">
      <alignment horizontal="center" vertical="center"/>
    </xf>
    <xf numFmtId="0" fontId="42" fillId="0" borderId="68" applyAlignment="1" pivotButton="0" quotePrefix="0" xfId="2">
      <alignment horizontal="center" vertical="center"/>
    </xf>
    <xf numFmtId="0" fontId="42" fillId="0" borderId="14" applyAlignment="1" pivotButton="0" quotePrefix="0" xfId="2">
      <alignment horizontal="left"/>
    </xf>
    <xf numFmtId="0" fontId="42" fillId="0" borderId="11" applyAlignment="1" pivotButton="0" quotePrefix="0" xfId="2">
      <alignment horizontal="left"/>
    </xf>
    <xf numFmtId="0" fontId="13" fillId="0" borderId="18" applyAlignment="1" pivotButton="0" quotePrefix="1" xfId="2">
      <alignment horizontal="center" vertical="center"/>
    </xf>
    <xf numFmtId="0" fontId="13" fillId="0" borderId="58" applyAlignment="1" pivotButton="0" quotePrefix="0" xfId="2">
      <alignment horizontal="center" vertical="center"/>
    </xf>
    <xf numFmtId="0" fontId="43" fillId="0" borderId="18" applyAlignment="1" pivotButton="0" quotePrefix="0" xfId="2">
      <alignment horizontal="center"/>
    </xf>
    <xf numFmtId="0" fontId="43" fillId="0" borderId="58" applyAlignment="1" pivotButton="0" quotePrefix="0" xfId="2">
      <alignment horizontal="center"/>
    </xf>
    <xf numFmtId="0" fontId="42" fillId="0" borderId="11" applyAlignment="1" pivotButton="0" quotePrefix="0" xfId="2">
      <alignment horizontal="center" textRotation="90"/>
    </xf>
    <xf numFmtId="0" fontId="42" fillId="0" borderId="68" applyAlignment="1" pivotButton="0" quotePrefix="0" xfId="2">
      <alignment horizontal="center" textRotation="90"/>
    </xf>
    <xf numFmtId="0" fontId="42" fillId="10" borderId="18" applyAlignment="1" pivotButton="0" quotePrefix="0" xfId="2">
      <alignment horizontal="center"/>
    </xf>
    <xf numFmtId="0" fontId="42" fillId="10" borderId="58" applyAlignment="1" pivotButton="0" quotePrefix="0" xfId="2">
      <alignment horizontal="center"/>
    </xf>
    <xf numFmtId="0" fontId="42" fillId="0" borderId="14" applyAlignment="1" pivotButton="0" quotePrefix="0" xfId="2">
      <alignment horizontal="center"/>
    </xf>
    <xf numFmtId="0" fontId="42" fillId="0" borderId="11" applyAlignment="1" pivotButton="0" quotePrefix="0" xfId="2">
      <alignment horizontal="center"/>
    </xf>
    <xf numFmtId="0" fontId="20" fillId="0" borderId="63" applyAlignment="1" pivotButton="0" quotePrefix="0" xfId="0">
      <alignment horizontal="center" vertical="center"/>
    </xf>
    <xf numFmtId="0" fontId="42" fillId="0" borderId="62" applyAlignment="1" pivotButton="0" quotePrefix="0" xfId="2">
      <alignment horizontal="center"/>
    </xf>
    <xf numFmtId="0" fontId="42" fillId="0" borderId="69" applyAlignment="1" pivotButton="0" quotePrefix="0" xfId="2">
      <alignment horizontal="center"/>
    </xf>
    <xf numFmtId="0" fontId="42" fillId="0" borderId="64" applyAlignment="1" pivotButton="0" quotePrefix="0" xfId="2">
      <alignment horizontal="center" vertical="center"/>
    </xf>
    <xf numFmtId="0" fontId="42" fillId="0" borderId="14" applyAlignment="1" pivotButton="0" quotePrefix="0" xfId="2">
      <alignment horizontal="center" vertical="center"/>
    </xf>
    <xf numFmtId="0" fontId="42" fillId="0" borderId="61" applyAlignment="1" pivotButton="0" quotePrefix="0" xfId="2">
      <alignment horizontal="center" vertical="center"/>
    </xf>
    <xf numFmtId="0" fontId="42" fillId="0" borderId="59" applyAlignment="1" pivotButton="0" quotePrefix="0" xfId="2">
      <alignment horizontal="center" vertical="center"/>
    </xf>
    <xf numFmtId="0" fontId="42" fillId="0" borderId="70" applyAlignment="1" pivotButton="0" quotePrefix="0" xfId="2">
      <alignment horizontal="center" vertical="center"/>
    </xf>
    <xf numFmtId="0" fontId="48" fillId="0" borderId="68" applyAlignment="1" pivotButton="0" quotePrefix="0" xfId="0">
      <alignment horizontal="center" vertical="center" wrapText="1"/>
    </xf>
    <xf numFmtId="0" fontId="7" fillId="0" borderId="68" applyAlignment="1" pivotButton="0" quotePrefix="0" xfId="0">
      <alignment horizontal="center" vertical="center"/>
    </xf>
    <xf numFmtId="0" fontId="44" fillId="0" borderId="68" applyAlignment="1" pivotButton="0" quotePrefix="0" xfId="2">
      <alignment horizontal="center" vertical="center" textRotation="90" wrapText="1"/>
    </xf>
    <xf numFmtId="0" fontId="7" fillId="9" borderId="68" applyAlignment="1" pivotButton="0" quotePrefix="0" xfId="0">
      <alignment horizontal="center" vertical="center"/>
    </xf>
    <xf numFmtId="0" fontId="50" fillId="0" borderId="68" applyAlignment="1" pivotButton="0" quotePrefix="0" xfId="2">
      <alignment horizontal="center" vertical="center" textRotation="90" wrapText="1"/>
    </xf>
    <xf numFmtId="0" fontId="50" fillId="0" borderId="68" applyAlignment="1" pivotButton="0" quotePrefix="0" xfId="2">
      <alignment horizontal="center" vertical="center"/>
    </xf>
    <xf numFmtId="0" fontId="50" fillId="0" borderId="68" applyAlignment="1" pivotButton="0" quotePrefix="0" xfId="2">
      <alignment horizontal="center" vertical="center" wrapText="1"/>
    </xf>
    <xf numFmtId="0" fontId="50" fillId="0" borderId="70" applyAlignment="1" pivotButton="0" quotePrefix="0" xfId="2">
      <alignment horizontal="center" vertical="center"/>
    </xf>
    <xf numFmtId="0" fontId="8" fillId="0" borderId="72" applyAlignment="1" pivotButton="0" quotePrefix="0" xfId="0">
      <alignment horizontal="center" vertical="center"/>
    </xf>
    <xf numFmtId="0" fontId="0" fillId="0" borderId="10" pivotButton="0" quotePrefix="0" xfId="0"/>
    <xf numFmtId="0" fontId="0" fillId="0" borderId="9" pivotButton="0" quotePrefix="0" xfId="0"/>
    <xf numFmtId="0" fontId="0" fillId="0" borderId="7" pivotButton="0" quotePrefix="0" xfId="0"/>
    <xf numFmtId="0" fontId="0" fillId="0" borderId="19" pivotButton="0" quotePrefix="0" xfId="0"/>
    <xf numFmtId="0" fontId="0" fillId="0" borderId="20" pivotButton="0" quotePrefix="0" xfId="0"/>
    <xf numFmtId="0" fontId="13" fillId="0" borderId="72" applyAlignment="1" pivotButton="0" quotePrefix="0" xfId="0">
      <alignment horizontal="center"/>
    </xf>
    <xf numFmtId="0" fontId="28" fillId="3" borderId="63" applyAlignment="1" pivotButton="0" quotePrefix="0" xfId="0">
      <alignment horizontal="center" vertical="center"/>
    </xf>
    <xf numFmtId="0" fontId="0" fillId="0" borderId="4" pivotButton="0" quotePrefix="0" xfId="0"/>
    <xf numFmtId="0" fontId="0" fillId="0" borderId="1" pivotButton="0" quotePrefix="0" xfId="0"/>
    <xf numFmtId="0" fontId="22" fillId="0" borderId="73" applyAlignment="1" pivotButton="0" quotePrefix="0" xfId="0">
      <alignment horizontal="center" vertical="center" wrapText="1"/>
    </xf>
    <xf numFmtId="0" fontId="0" fillId="0" borderId="8" pivotButton="0" quotePrefix="0" xfId="0"/>
    <xf numFmtId="0" fontId="0" fillId="0" borderId="16" pivotButton="0" quotePrefix="0" xfId="0"/>
    <xf numFmtId="0" fontId="0" fillId="0" borderId="15" pivotButton="0" quotePrefix="0" xfId="0"/>
    <xf numFmtId="0" fontId="0" fillId="0" borderId="17" pivotButton="0" quotePrefix="0" xfId="0"/>
    <xf numFmtId="0" fontId="26" fillId="3" borderId="63" applyAlignment="1" pivotButton="0" quotePrefix="0" xfId="0">
      <alignment horizontal="center" vertical="center"/>
    </xf>
    <xf numFmtId="0" fontId="66" fillId="0" borderId="0" applyAlignment="1" pivotButton="0" quotePrefix="0" xfId="0">
      <alignment horizontal="left" vertical="center"/>
    </xf>
    <xf numFmtId="0" fontId="0" fillId="0" borderId="75" pivotButton="0" quotePrefix="0" xfId="0"/>
    <xf numFmtId="0" fontId="0" fillId="0" borderId="76" pivotButton="0" quotePrefix="0" xfId="0"/>
    <xf numFmtId="0" fontId="0" fillId="0" borderId="39" pivotButton="0" quotePrefix="0" xfId="0"/>
    <xf numFmtId="0" fontId="0" fillId="0" borderId="43" pivotButton="0" quotePrefix="0" xfId="0"/>
    <xf numFmtId="0" fontId="0" fillId="0" borderId="78" pivotButton="0" quotePrefix="0" xfId="0"/>
    <xf numFmtId="0" fontId="0" fillId="0" borderId="30" pivotButton="0" quotePrefix="0" xfId="0"/>
    <xf numFmtId="0" fontId="7" fillId="0" borderId="36" applyAlignment="1" pivotButton="0" quotePrefix="0" xfId="2">
      <alignment horizontal="center" vertical="top" wrapText="1"/>
    </xf>
    <xf numFmtId="0" fontId="0" fillId="0" borderId="29" pivotButton="0" quotePrefix="0" xfId="0"/>
    <xf numFmtId="0" fontId="7" fillId="0" borderId="50" applyAlignment="1" pivotButton="0" quotePrefix="0" xfId="2">
      <alignment horizontal="center" vertical="center" wrapText="1"/>
    </xf>
    <xf numFmtId="0" fontId="0" fillId="0" borderId="32" pivotButton="0" quotePrefix="0" xfId="0"/>
    <xf numFmtId="0" fontId="0" fillId="0" borderId="33" pivotButton="0" quotePrefix="0" xfId="0"/>
    <xf numFmtId="0" fontId="32" fillId="0" borderId="26" applyAlignment="1" pivotButton="0" quotePrefix="0" xfId="2">
      <alignment horizontal="left" vertical="center" wrapText="1"/>
    </xf>
    <xf numFmtId="0" fontId="0" fillId="0" borderId="35" pivotButton="0" quotePrefix="0" xfId="0"/>
    <xf numFmtId="0" fontId="0" fillId="0" borderId="37" pivotButton="0" quotePrefix="0" xfId="0"/>
    <xf numFmtId="0" fontId="0" fillId="0" borderId="38" pivotButton="0" quotePrefix="0" xfId="0"/>
    <xf numFmtId="0" fontId="0" fillId="0" borderId="40" pivotButton="0" quotePrefix="0" xfId="0"/>
    <xf numFmtId="0" fontId="0" fillId="0" borderId="42" pivotButton="0" quotePrefix="0" xfId="0"/>
    <xf numFmtId="0" fontId="7" fillId="0" borderId="36" applyAlignment="1" pivotButton="0" quotePrefix="0" xfId="2">
      <alignment horizontal="center" wrapText="1"/>
    </xf>
    <xf numFmtId="0" fontId="0" fillId="0" borderId="44" pivotButton="0" quotePrefix="0" xfId="0"/>
    <xf numFmtId="0" fontId="7" fillId="0" borderId="50" applyAlignment="1" pivotButton="0" quotePrefix="0" xfId="2">
      <alignment horizontal="left" vertical="center"/>
    </xf>
    <xf numFmtId="0" fontId="0" fillId="0" borderId="45" pivotButton="0" quotePrefix="0" xfId="0"/>
    <xf numFmtId="0" fontId="7" fillId="0" borderId="50" applyAlignment="1" pivotButton="0" quotePrefix="0" xfId="2">
      <alignment horizontal="center" vertical="center"/>
    </xf>
    <xf numFmtId="0" fontId="0" fillId="0" borderId="80" pivotButton="0" quotePrefix="0" xfId="0"/>
    <xf numFmtId="0" fontId="0" fillId="0" borderId="74" applyAlignment="1" pivotButton="0" quotePrefix="0" xfId="2">
      <alignment horizontal="left" vertical="center" wrapText="1"/>
    </xf>
    <xf numFmtId="0" fontId="38" fillId="0" borderId="81" applyAlignment="1" pivotButton="0" quotePrefix="0" xfId="2">
      <alignment horizontal="center" vertical="top" wrapText="1"/>
    </xf>
    <xf numFmtId="0" fontId="35" fillId="0" borderId="36" applyAlignment="1" pivotButton="0" quotePrefix="0" xfId="2">
      <alignment horizontal="center" vertical="center"/>
    </xf>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57" pivotButton="0" quotePrefix="0" xfId="0"/>
    <xf numFmtId="0" fontId="0" fillId="0" borderId="2" pivotButton="0" quotePrefix="0" xfId="0"/>
    <xf numFmtId="0" fontId="0" fillId="0" borderId="93" pivotButton="0" quotePrefix="0" xfId="0"/>
    <xf numFmtId="0" fontId="0" fillId="0" borderId="66" pivotButton="0" quotePrefix="0" xfId="0"/>
    <xf numFmtId="0" fontId="0" fillId="0" borderId="92" pivotButton="0" quotePrefix="0" xfId="0"/>
    <xf numFmtId="0" fontId="0" fillId="0" borderId="88" pivotButton="0" quotePrefix="0" xfId="0"/>
    <xf numFmtId="0" fontId="0" fillId="0" borderId="58" pivotButton="0" quotePrefix="0" xfId="0"/>
    <xf numFmtId="0" fontId="0" fillId="0" borderId="89" pivotButton="0" quotePrefix="0" xfId="0"/>
    <xf numFmtId="0" fontId="0" fillId="0" borderId="94" pivotButton="0" quotePrefix="0" xfId="0"/>
    <xf numFmtId="0" fontId="0" fillId="0" borderId="90" pivotButton="0" quotePrefix="0" xfId="0"/>
    <xf numFmtId="0" fontId="0" fillId="0" borderId="91" pivotButton="0" quotePrefix="0" xfId="0"/>
  </cellXfs>
  <cellStyles count="4">
    <cellStyle name="Normal" xfId="0" builtinId="0"/>
    <cellStyle name="Normal 2" xfId="1"/>
    <cellStyle name="Excel Built-in Normal" xfId="2"/>
    <cellStyle name="Normal 3 2 5" xfId="3"/>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3</col>
      <colOff>857249</colOff>
      <row>5</row>
      <rowOff>133350</rowOff>
    </to>
    <pic>
      <nvPicPr>
        <cNvPr id="2" name="Picture 1" descr="http://st1.bgr.in/wp-content/uploads/2015/12/reliance-jio-logo-blue.jpg"/>
        <cNvPicPr/>
      </nvPicPr>
      <blipFill>
        <a:blip cstate="print" r:embed="rId1"/>
        <a:srcRect/>
        <a:stretch>
          <a:fillRect/>
        </a:stretch>
      </blipFill>
      <spPr bwMode="auto">
        <a:xfrm>
          <a:off x="9525" y="47625"/>
          <a:ext cx="1828799" cy="1038225"/>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6</col>
      <colOff>28575</colOff>
      <row>2</row>
      <rowOff>15838</rowOff>
    </from>
    <to>
      <col>8</col>
      <colOff>180976</colOff>
      <row>7</row>
      <rowOff>133350</rowOff>
    </to>
    <pic>
      <nvPicPr>
        <cNvPr id="2" name="Picture 1"/>
        <cNvPicPr>
          <a:picLocks noChangeAspect="1"/>
        </cNvPicPr>
      </nvPicPr>
      <blipFill>
        <a:blip cstate="print" r:embed="rId1"/>
        <a:stretch>
          <a:fillRect/>
        </a:stretch>
      </blipFill>
      <spPr>
        <a:xfrm>
          <a:off x="4981575" y="349213"/>
          <a:ext cx="1685926" cy="955712"/>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B1:K51"/>
  <sheetViews>
    <sheetView workbookViewId="0">
      <pane ySplit="6" topLeftCell="A22" activePane="bottomLeft" state="frozen"/>
      <selection pane="bottomLeft" activeCell="I32" sqref="I32:J32"/>
    </sheetView>
  </sheetViews>
  <sheetFormatPr baseColWidth="8" defaultColWidth="9.33203125" defaultRowHeight="14.4"/>
  <cols>
    <col width="9.33203125" customWidth="1" style="245" min="1" max="1"/>
    <col width="5.5546875" customWidth="1" style="22" min="2" max="2"/>
    <col width="9.33203125" customWidth="1" style="245" min="3" max="3"/>
    <col width="14" customWidth="1" style="245" min="4" max="4"/>
    <col width="9.33203125" customWidth="1" style="245" min="5" max="5"/>
    <col width="9" customWidth="1" style="245" min="6" max="7"/>
    <col width="31.6640625" customWidth="1" style="245" min="8" max="8"/>
    <col width="6.5546875" customWidth="1" style="13" min="9" max="9"/>
    <col width="22.33203125" customWidth="1" style="245" min="10" max="10"/>
    <col width="9.33203125" customWidth="1" style="245" min="11" max="12"/>
    <col width="10" bestFit="1" customWidth="1" style="245" min="13" max="13"/>
    <col width="9.33203125" customWidth="1" style="245" min="14" max="16384"/>
  </cols>
  <sheetData>
    <row r="1">
      <c r="B1" s="7" t="n"/>
      <c r="C1" s="8" t="n"/>
      <c r="D1" s="8" t="n"/>
      <c r="E1" s="8" t="n"/>
      <c r="F1" s="8" t="n"/>
      <c r="G1" s="8" t="n"/>
      <c r="H1" s="8" t="n"/>
      <c r="I1" s="9" t="n"/>
      <c r="J1" s="10" t="n"/>
    </row>
    <row r="2">
      <c r="B2" s="12" t="n"/>
      <c r="J2" s="14" t="n"/>
    </row>
    <row r="3" ht="15" customHeight="1">
      <c r="B3" s="397" t="inlineStr">
        <is>
          <t>Work Completion Certificate</t>
        </is>
      </c>
      <c r="J3" s="398" t="n"/>
      <c r="K3" s="15" t="n"/>
    </row>
    <row r="4" ht="15" customHeight="1">
      <c r="B4" s="399" t="n"/>
      <c r="J4" s="398" t="n"/>
      <c r="K4" s="15" t="n"/>
    </row>
    <row r="5">
      <c r="B5" s="12" t="n"/>
      <c r="J5" s="14" t="n"/>
    </row>
    <row r="6" ht="15" customHeight="1" thickBot="1">
      <c r="B6" s="16" t="n"/>
      <c r="C6" s="17" t="n"/>
      <c r="D6" s="17" t="n"/>
      <c r="E6" s="17" t="n"/>
      <c r="F6" s="17" t="n"/>
      <c r="G6" s="17" t="n"/>
      <c r="H6" s="17" t="n"/>
      <c r="I6" s="18" t="n"/>
      <c r="J6" s="19" t="n"/>
    </row>
    <row r="7" ht="18" customHeight="1">
      <c r="B7" s="7" t="n"/>
      <c r="C7" s="8" t="n"/>
      <c r="D7" s="8" t="n"/>
      <c r="E7" s="8" t="n"/>
      <c r="F7" s="243" t="n"/>
      <c r="G7" s="400" t="n"/>
      <c r="H7" s="20" t="n"/>
      <c r="I7" s="9" t="n"/>
      <c r="J7" s="10" t="n"/>
    </row>
    <row r="8" ht="15" customHeight="1" thickBot="1">
      <c r="B8" s="244" t="inlineStr">
        <is>
          <t>State</t>
        </is>
      </c>
      <c r="D8" s="246" t="inlineStr">
        <is>
          <t>RAJASTHAN</t>
        </is>
      </c>
      <c r="E8" s="401" t="n"/>
      <c r="H8" s="245" t="inlineStr">
        <is>
          <t>Maintenance Point</t>
        </is>
      </c>
      <c r="I8" s="247" t="inlineStr">
        <is>
          <t>Jaipur</t>
        </is>
      </c>
      <c r="J8" s="402" t="n"/>
    </row>
    <row r="9">
      <c r="B9" s="244" t="n"/>
      <c r="J9" s="14" t="n"/>
    </row>
    <row r="10">
      <c r="B10" s="238" t="inlineStr">
        <is>
          <t>Project Type</t>
        </is>
      </c>
      <c r="D10" s="22" t="inlineStr">
        <is>
          <t>93 K</t>
        </is>
      </c>
      <c r="E10" s="22" t="inlineStr">
        <is>
          <t>Infill</t>
        </is>
      </c>
      <c r="F10" s="22" t="inlineStr">
        <is>
          <t>Growth</t>
        </is>
      </c>
      <c r="G10" s="23" t="inlineStr">
        <is>
          <t>Other (Specify) _________________________</t>
        </is>
      </c>
      <c r="I10" s="13" t="inlineStr">
        <is>
          <t>Air Fiber Installation</t>
        </is>
      </c>
      <c r="J10" s="14" t="n"/>
    </row>
    <row r="11">
      <c r="B11" s="12" t="n"/>
      <c r="J11" s="14" t="n"/>
    </row>
    <row r="12">
      <c r="B12" s="12" t="n"/>
      <c r="J12" s="14" t="n"/>
    </row>
    <row r="13">
      <c r="B13" s="24" t="n"/>
      <c r="I13" s="25" t="inlineStr">
        <is>
          <t>ZXZ</t>
        </is>
      </c>
      <c r="J13" s="26" t="n"/>
    </row>
    <row r="14">
      <c r="B14" s="238" t="inlineStr">
        <is>
          <t>Site Type</t>
        </is>
      </c>
      <c r="D14" s="22" t="inlineStr">
        <is>
          <t>Own Built</t>
        </is>
      </c>
      <c r="E14" s="22" t="inlineStr">
        <is>
          <t>IP Colo</t>
        </is>
      </c>
      <c r="F14" s="22" t="inlineStr">
        <is>
          <t>RP1</t>
        </is>
      </c>
      <c r="G14" s="22" t="inlineStr">
        <is>
          <t>BSNL</t>
        </is>
      </c>
      <c r="H14" s="23" t="inlineStr">
        <is>
          <t xml:space="preserve">    MAG1      NLD AG1</t>
        </is>
      </c>
      <c r="J14" s="14" t="n"/>
    </row>
    <row r="15">
      <c r="B15" s="24" t="n"/>
      <c r="H15" s="25" t="n"/>
      <c r="J15" s="14" t="n"/>
    </row>
    <row r="16" ht="15.75" customHeight="1">
      <c r="B16" s="12" t="n"/>
      <c r="E16" s="27" t="n"/>
      <c r="J16" s="14" t="n"/>
    </row>
    <row r="17" ht="15.75" customHeight="1">
      <c r="B17" s="12" t="n"/>
      <c r="E17" s="27" t="n"/>
      <c r="J17" s="14" t="n"/>
    </row>
    <row r="18" ht="15.75" customHeight="1">
      <c r="B18" s="238" t="inlineStr">
        <is>
          <t>Tower type</t>
        </is>
      </c>
      <c r="D18" s="22" t="inlineStr">
        <is>
          <t>GBT</t>
        </is>
      </c>
      <c r="E18" s="22" t="inlineStr">
        <is>
          <t>RTT</t>
        </is>
      </c>
      <c r="F18" s="22" t="inlineStr">
        <is>
          <t>RTP</t>
        </is>
      </c>
      <c r="G18" s="22" t="inlineStr">
        <is>
          <t>GBM</t>
        </is>
      </c>
      <c r="H18" s="23" t="inlineStr">
        <is>
          <t xml:space="preserve">     NBT         Other (Specify) _________________________________</t>
        </is>
      </c>
      <c r="J18" s="14" t="inlineStr">
        <is>
          <t>Air Fiber Installation</t>
        </is>
      </c>
    </row>
    <row r="19">
      <c r="B19" s="12" t="n"/>
      <c r="J19" s="14" t="n"/>
    </row>
    <row r="20">
      <c r="B20" s="244" t="n"/>
      <c r="J20" s="21" t="n"/>
    </row>
    <row r="21" ht="15" customHeight="1">
      <c r="B21" s="403" t="inlineStr">
        <is>
          <t>This is to certify that work has been completed as per specification given in workorder on the sites mentioned</t>
        </is>
      </c>
      <c r="J21" s="398" t="n"/>
    </row>
    <row r="22" ht="15.6" customHeight="1">
      <c r="B22" s="12" t="n"/>
      <c r="C22" s="28" t="n"/>
      <c r="J22" s="14" t="n"/>
    </row>
    <row r="23" ht="15.6" customFormat="1" customHeight="1" s="28">
      <c r="B23" s="29" t="n"/>
      <c r="C23" s="28" t="inlineStr">
        <is>
          <t>The required ITP / Checklists are available and verified in system</t>
        </is>
      </c>
      <c r="I23" s="251" t="n"/>
      <c r="J23" s="30" t="n"/>
    </row>
    <row r="24">
      <c r="B24" s="24" t="n"/>
      <c r="J24" s="14" t="n"/>
    </row>
    <row r="25">
      <c r="B25" s="24" t="n"/>
      <c r="J25" s="14" t="n"/>
    </row>
    <row r="26" ht="15" customHeight="1" thickBot="1">
      <c r="B26" s="244" t="inlineStr">
        <is>
          <t>Site Name</t>
        </is>
      </c>
      <c r="D26" s="31" t="inlineStr">
        <is>
          <t>As per Annexture</t>
        </is>
      </c>
      <c r="E26" s="31" t="n"/>
      <c r="H26" s="245" t="inlineStr">
        <is>
          <t>SAP ID</t>
        </is>
      </c>
      <c r="I26" s="249" t="inlineStr">
        <is>
          <t>As per Annexture</t>
        </is>
      </c>
      <c r="J26" s="402" t="n"/>
    </row>
    <row r="27">
      <c r="B27" s="244" t="n"/>
      <c r="I27" s="25" t="n"/>
      <c r="J27" s="26" t="n"/>
    </row>
    <row r="28">
      <c r="B28" s="244" t="n"/>
      <c r="I28" s="25" t="n"/>
      <c r="J28" s="26" t="n"/>
    </row>
    <row r="29" ht="15" customHeight="1" thickBot="1">
      <c r="B29" s="244" t="inlineStr">
        <is>
          <t>W.O.Number</t>
        </is>
      </c>
      <c r="D29" s="31" t="inlineStr">
        <is>
          <t>P14/630330726</t>
        </is>
      </c>
      <c r="E29" s="31" t="n"/>
      <c r="H29" s="245" t="inlineStr">
        <is>
          <t>Vendor Name                                 M/S.</t>
        </is>
      </c>
      <c r="I29" s="249" t="inlineStr">
        <is>
          <t>DIGITCOM INDIA TECHNOLOGIES</t>
        </is>
      </c>
      <c r="J29" s="402" t="n"/>
    </row>
    <row r="30">
      <c r="B30" s="244" t="n"/>
      <c r="I30" s="25" t="n"/>
      <c r="J30" s="26" t="n"/>
    </row>
    <row r="31">
      <c r="B31" s="24" t="n"/>
      <c r="J31" s="14" t="n"/>
    </row>
    <row r="32" ht="15" customHeight="1" thickBot="1">
      <c r="B32" s="244" t="inlineStr">
        <is>
          <t>No of Sites</t>
        </is>
      </c>
      <c r="D32" s="31" t="inlineStr">
        <is>
          <t>22 SITES</t>
        </is>
      </c>
      <c r="E32" s="31" t="n"/>
      <c r="H32" s="23" t="inlineStr">
        <is>
          <t>Completion Date</t>
        </is>
      </c>
      <c r="I32" s="249" t="inlineStr">
        <is>
          <t>30-JAN-26 TO 04-FEB-26</t>
        </is>
      </c>
      <c r="J32" s="402" t="n"/>
    </row>
    <row r="33">
      <c r="B33" s="24" t="n"/>
      <c r="J33" s="14" t="n"/>
    </row>
    <row r="34">
      <c r="B34" s="12" t="n"/>
      <c r="J34" s="14" t="n"/>
    </row>
    <row r="35">
      <c r="B35" s="12" t="n"/>
      <c r="C35" s="239" t="inlineStr">
        <is>
          <t>Vendor Representative</t>
        </is>
      </c>
      <c r="H35" s="239" t="inlineStr">
        <is>
          <t>RJIL Representative</t>
        </is>
      </c>
      <c r="J35" s="14" t="n"/>
    </row>
    <row r="36">
      <c r="B36" s="12" t="n"/>
      <c r="J36" s="14" t="n"/>
    </row>
    <row r="37" ht="15" customHeight="1" thickBot="1">
      <c r="B37" s="12" t="n"/>
      <c r="C37" s="245" t="inlineStr">
        <is>
          <t>Name</t>
        </is>
      </c>
      <c r="D37" s="31" t="inlineStr">
        <is>
          <t>ANKUSH SRIVASTAVA</t>
        </is>
      </c>
      <c r="E37" s="31" t="n"/>
      <c r="H37" s="245" t="inlineStr">
        <is>
          <t>Name</t>
        </is>
      </c>
      <c r="I37" s="31" t="inlineStr">
        <is>
          <t>MR. Manish Nahar</t>
        </is>
      </c>
      <c r="J37" s="33" t="n"/>
    </row>
    <row r="38">
      <c r="B38" s="12" t="n"/>
      <c r="I38" s="245" t="n"/>
      <c r="J38" s="14" t="n"/>
    </row>
    <row r="39" ht="15" customHeight="1" thickBot="1">
      <c r="B39" s="12" t="n"/>
      <c r="C39" s="245" t="inlineStr">
        <is>
          <t>Sign</t>
        </is>
      </c>
      <c r="D39" s="31" t="n"/>
      <c r="E39" s="31" t="n"/>
      <c r="H39" s="245" t="inlineStr">
        <is>
          <t>Sign</t>
        </is>
      </c>
      <c r="I39" s="31" t="n"/>
      <c r="J39" s="33" t="n"/>
    </row>
    <row r="40">
      <c r="B40" s="12" t="n"/>
      <c r="I40" s="245" t="n"/>
      <c r="J40" s="14" t="n"/>
    </row>
    <row r="41" ht="15" customHeight="1" thickBot="1">
      <c r="B41" s="12" t="n"/>
      <c r="C41" s="245" t="inlineStr">
        <is>
          <t>Date</t>
        </is>
      </c>
      <c r="D41" s="31" t="n"/>
      <c r="E41" s="31" t="n"/>
      <c r="H41" s="245" t="inlineStr">
        <is>
          <t>Date</t>
        </is>
      </c>
      <c r="I41" s="31" t="n"/>
      <c r="J41" s="33" t="n"/>
    </row>
    <row r="42">
      <c r="B42" s="12" t="n"/>
      <c r="I42" s="245" t="n"/>
      <c r="J42" s="14" t="n"/>
    </row>
    <row r="43">
      <c r="B43" s="12" t="n"/>
      <c r="I43" s="245" t="n"/>
      <c r="J43" s="14" t="n"/>
    </row>
    <row r="44">
      <c r="B44" s="12" t="n"/>
      <c r="C44" s="239" t="inlineStr">
        <is>
          <t xml:space="preserve">Remarks, if any: </t>
        </is>
      </c>
      <c r="I44" s="245" t="n"/>
      <c r="J44" s="14" t="n"/>
    </row>
    <row r="45" ht="15" customHeight="1" thickBot="1">
      <c r="B45" s="12" t="n"/>
      <c r="C45" s="17" t="n"/>
      <c r="D45" s="17" t="n"/>
      <c r="E45" s="17" t="n"/>
      <c r="F45" s="17" t="n"/>
      <c r="G45" s="17" t="n"/>
      <c r="H45" s="17" t="n"/>
      <c r="I45" s="17" t="n"/>
      <c r="J45" s="14" t="n"/>
    </row>
    <row r="46" ht="15" customHeight="1" thickBot="1">
      <c r="B46" s="12" t="n"/>
      <c r="C46" s="17" t="n"/>
      <c r="D46" s="17" t="n"/>
      <c r="E46" s="17" t="n"/>
      <c r="F46" s="17" t="n"/>
      <c r="G46" s="17" t="n"/>
      <c r="H46" s="17" t="n"/>
      <c r="I46" s="17" t="n"/>
      <c r="J46" s="14" t="n"/>
    </row>
    <row r="47" ht="15" customHeight="1" thickBot="1">
      <c r="B47" s="12" t="n"/>
      <c r="C47" s="17" t="n"/>
      <c r="D47" s="17" t="n"/>
      <c r="E47" s="17" t="n"/>
      <c r="F47" s="17" t="n"/>
      <c r="G47" s="17" t="n"/>
      <c r="H47" s="17" t="n"/>
      <c r="I47" s="17" t="n"/>
      <c r="J47" s="14" t="n"/>
    </row>
    <row r="48" ht="15" customHeight="1" thickBot="1">
      <c r="B48" s="12" t="n"/>
      <c r="C48" s="17" t="n"/>
      <c r="D48" s="17" t="n"/>
      <c r="E48" s="17" t="n"/>
      <c r="F48" s="17" t="n"/>
      <c r="G48" s="17" t="n"/>
      <c r="H48" s="17" t="n"/>
      <c r="I48" s="17" t="n"/>
      <c r="J48" s="14" t="n"/>
    </row>
    <row r="49">
      <c r="B49" s="12" t="n"/>
      <c r="I49" s="245" t="n"/>
      <c r="J49" s="14" t="n"/>
    </row>
    <row r="50">
      <c r="B50" s="12" t="n"/>
      <c r="C50" s="239" t="inlineStr">
        <is>
          <t>Note :</t>
        </is>
      </c>
      <c r="D50" s="245" t="inlineStr">
        <is>
          <t>In case of Multiple sites, please attach applicable site details with this certificate</t>
        </is>
      </c>
      <c r="I50" s="245" t="n"/>
      <c r="J50" s="14" t="n"/>
    </row>
    <row r="51" ht="10.8" customFormat="1" customHeight="1" s="38" thickBot="1">
      <c r="B51" s="34" t="n"/>
      <c r="C51" s="35" t="n"/>
      <c r="D51" s="35" t="n"/>
      <c r="E51" s="35" t="n"/>
      <c r="F51" s="35" t="n"/>
      <c r="G51" s="35" t="n"/>
      <c r="H51" s="35" t="n"/>
      <c r="I51" s="36" t="n"/>
      <c r="J51" s="37" t="n"/>
    </row>
  </sheetData>
  <mergeCells count="15">
    <mergeCell ref="D8:E8"/>
    <mergeCell ref="I29:J29"/>
    <mergeCell ref="B29:C29"/>
    <mergeCell ref="B26:C26"/>
    <mergeCell ref="I32:J32"/>
    <mergeCell ref="B10:C10"/>
    <mergeCell ref="B21:J21"/>
    <mergeCell ref="B14:C14"/>
    <mergeCell ref="B32:C32"/>
    <mergeCell ref="I8:J8"/>
    <mergeCell ref="B3:J4"/>
    <mergeCell ref="B8:C8"/>
    <mergeCell ref="I26:J26"/>
    <mergeCell ref="B18:C18"/>
    <mergeCell ref="F7:G7"/>
  </mergeCells>
  <printOptions horizontalCentered="1"/>
  <pageMargins left="0.3937007874015748" right="0.3937007874015748" top="0.5905511811023623" bottom="0.5905511811023623" header="0.1968503937007874" footer="0.1968503937007874"/>
  <pageSetup orientation="portrait" paperSize="9" scale="75" horizont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C4:Z41"/>
  <sheetViews>
    <sheetView zoomScale="25" zoomScaleNormal="25" workbookViewId="0">
      <selection activeCell="C12" sqref="C12:C33"/>
    </sheetView>
  </sheetViews>
  <sheetFormatPr baseColWidth="8" defaultColWidth="9.33203125" defaultRowHeight="16.2"/>
  <cols>
    <col width="9.33203125" customWidth="1" style="143" min="1" max="2"/>
    <col width="22.44140625" customWidth="1" style="143" min="3" max="3"/>
    <col width="80.6640625" customWidth="1" style="143" min="4" max="4"/>
    <col width="82.6640625" customWidth="1" style="143" min="5" max="5"/>
    <col width="92.6640625" customWidth="1" style="143" min="6" max="6"/>
    <col width="28.6640625" customWidth="1" style="143" min="7" max="7"/>
    <col width="30.44140625" customWidth="1" style="143" min="8" max="8"/>
    <col width="52.44140625" customWidth="1" style="143" min="9" max="9"/>
    <col width="43" customWidth="1" style="143" min="10" max="10"/>
    <col width="54.44140625" customWidth="1" style="143" min="11" max="11"/>
    <col width="55.88671875" customWidth="1" style="143" min="12" max="12"/>
    <col width="53.6640625" customWidth="1" style="143" min="13" max="13"/>
    <col width="38.5546875" customWidth="1" style="143" min="14" max="14"/>
    <col width="58.109375" customWidth="1" style="143" min="15" max="15"/>
    <col width="9.33203125" customWidth="1" style="143" min="16" max="20"/>
    <col width="32.6640625" customWidth="1" style="143" min="21" max="24"/>
    <col width="9.33203125" customWidth="1" style="143" min="25" max="16384"/>
  </cols>
  <sheetData>
    <row r="3" ht="16.8" customHeight="1" thickBot="1"/>
    <row r="4" ht="18" customHeight="1" thickBot="1">
      <c r="C4" s="85" t="n"/>
      <c r="D4" s="86" t="n"/>
      <c r="E4" s="86" t="n"/>
      <c r="F4" s="86" t="n"/>
      <c r="G4" s="86" t="n"/>
      <c r="H4" s="86" t="n"/>
      <c r="I4" s="86" t="n"/>
      <c r="J4" s="86" t="n"/>
      <c r="K4" s="86" t="n"/>
      <c r="L4" s="86" t="n"/>
      <c r="M4" s="86" t="n"/>
      <c r="N4" s="86" t="n"/>
      <c r="O4" s="87" t="n"/>
    </row>
    <row r="5" ht="101.25" customFormat="1" customHeight="1" s="5" thickBot="1">
      <c r="C5" s="404" t="inlineStr">
        <is>
          <t>Work Completion Certificate</t>
        </is>
      </c>
      <c r="D5" s="405" t="n"/>
      <c r="E5" s="405" t="n"/>
      <c r="F5" s="405" t="n"/>
      <c r="G5" s="405" t="n"/>
      <c r="H5" s="405" t="n"/>
      <c r="I5" s="405" t="n"/>
      <c r="J5" s="405" t="n"/>
      <c r="K5" s="405" t="n"/>
      <c r="L5" s="405" t="n"/>
      <c r="M5" s="405" t="n"/>
      <c r="N5" s="405" t="n"/>
      <c r="O5" s="406" t="n"/>
    </row>
    <row r="6" ht="23.25" customHeight="1">
      <c r="C6" s="407" t="inlineStr">
        <is>
          <t>This is to certify that below sites pertaining to WO/WCO No.P14/630330726 Dated in 03-10-2025 respect of Digitcom India Technologies  has  been successfully completed in all respect.</t>
        </is>
      </c>
      <c r="D6" s="400" t="n"/>
      <c r="E6" s="400" t="n"/>
      <c r="F6" s="400" t="n"/>
      <c r="G6" s="400" t="n"/>
      <c r="H6" s="400" t="n"/>
      <c r="I6" s="400" t="n"/>
      <c r="J6" s="400" t="n"/>
      <c r="K6" s="400" t="n"/>
      <c r="L6" s="400" t="n"/>
      <c r="M6" s="400" t="n"/>
      <c r="N6" s="400" t="n"/>
      <c r="O6" s="408" t="n"/>
    </row>
    <row r="7" ht="23.25" customHeight="1">
      <c r="C7" s="399" t="n"/>
      <c r="O7" s="398" t="n"/>
    </row>
    <row r="8" ht="23.25" customHeight="1">
      <c r="C8" s="399" t="n"/>
      <c r="O8" s="398" t="n"/>
    </row>
    <row r="9" ht="144.6" customHeight="1" thickBot="1">
      <c r="C9" s="409" t="n"/>
      <c r="D9" s="410" t="n"/>
      <c r="E9" s="410" t="n"/>
      <c r="F9" s="410" t="n"/>
      <c r="G9" s="410" t="n"/>
      <c r="H9" s="410" t="n"/>
      <c r="I9" s="410" t="n"/>
      <c r="J9" s="410" t="n"/>
      <c r="K9" s="410" t="n"/>
      <c r="L9" s="410" t="n"/>
      <c r="M9" s="410" t="n"/>
      <c r="N9" s="410" t="n"/>
      <c r="O9" s="411" t="n"/>
    </row>
    <row r="10" ht="18.6" customHeight="1" thickBot="1" thickTop="1">
      <c r="C10" s="89" t="n"/>
      <c r="D10" s="42" t="n"/>
      <c r="E10" s="42" t="n"/>
      <c r="F10" s="42" t="n"/>
      <c r="G10" s="42" t="n"/>
      <c r="H10" s="42" t="n"/>
      <c r="I10" s="42" t="n"/>
      <c r="J10" s="42" t="n"/>
      <c r="K10" s="42" t="n"/>
      <c r="L10" s="42" t="n"/>
      <c r="M10" s="42" t="n"/>
      <c r="N10" s="42" t="n"/>
      <c r="O10" s="43" t="n"/>
    </row>
    <row r="11" ht="94.5" customHeight="1" thickBot="1">
      <c r="C11" s="198" t="inlineStr">
        <is>
          <t>Sr. No</t>
        </is>
      </c>
      <c r="D11" s="198" t="inlineStr">
        <is>
          <t>ENB SITE ID</t>
        </is>
      </c>
      <c r="E11" s="198" t="inlineStr">
        <is>
          <t>PMP SAP ID</t>
        </is>
      </c>
      <c r="F11" s="198" t="inlineStr">
        <is>
          <t>GIS SECTOR_ID</t>
        </is>
      </c>
      <c r="G11" s="198" t="inlineStr">
        <is>
          <t>No of Sectors</t>
        </is>
      </c>
      <c r="H11" s="198" t="inlineStr">
        <is>
          <t xml:space="preserve">Tower type </t>
        </is>
      </c>
      <c r="I11" s="198" t="inlineStr">
        <is>
          <t>JC</t>
        </is>
      </c>
      <c r="J11" s="198" t="inlineStr">
        <is>
          <t>WH</t>
        </is>
      </c>
      <c r="K11" s="198" t="inlineStr">
        <is>
          <t>VEHICLE NO</t>
        </is>
      </c>
      <c r="L11" s="198" t="inlineStr">
        <is>
          <t>MIN  NO</t>
        </is>
      </c>
      <c r="M11" s="198" t="inlineStr">
        <is>
          <t>MIN Date</t>
        </is>
      </c>
      <c r="N11" s="198" t="inlineStr">
        <is>
          <t xml:space="preserve">Completion Date </t>
        </is>
      </c>
      <c r="O11" s="198" t="inlineStr">
        <is>
          <t>REMARKS</t>
        </is>
      </c>
      <c r="U11" s="157" t="inlineStr">
        <is>
          <t>ACTUAL KM</t>
        </is>
      </c>
      <c r="V11" s="157" t="inlineStr">
        <is>
          <t>KM IN WO</t>
        </is>
      </c>
      <c r="W11" s="157" t="inlineStr">
        <is>
          <t>GAP</t>
        </is>
      </c>
      <c r="X11" s="157" t="inlineStr">
        <is>
          <t>USED KM IN WCC</t>
        </is>
      </c>
    </row>
    <row r="12" ht="70.5" customHeight="1" thickBot="1">
      <c r="C12" s="199" t="n">
        <v>1</v>
      </c>
      <c r="D12" s="216" t="inlineStr">
        <is>
          <t>I-RJ-MRTA-ENB-9036</t>
        </is>
      </c>
      <c r="E12" s="216" t="inlineStr">
        <is>
          <t>I-RJ-MRTA-PMP-0053</t>
        </is>
      </c>
      <c r="F12" s="216" t="inlineStr">
        <is>
          <t>I-RJ-MRTA-ENB-9036-3</t>
        </is>
      </c>
      <c r="G12" s="216" t="n">
        <v>1</v>
      </c>
      <c r="H12" s="217" t="inlineStr">
        <is>
          <t>GBT</t>
        </is>
      </c>
      <c r="I12" s="216" t="inlineStr">
        <is>
          <t>Nagaur</t>
        </is>
      </c>
      <c r="J12" s="218" t="inlineStr">
        <is>
          <t>JLJH</t>
        </is>
      </c>
      <c r="K12" s="204" t="inlineStr">
        <is>
          <t>RJ21GA6945</t>
        </is>
      </c>
      <c r="L12" s="204" t="n">
        <v>255623353</v>
      </c>
      <c r="M12" s="219" t="n">
        <v>46051</v>
      </c>
      <c r="N12" s="219" t="n">
        <v>46053</v>
      </c>
      <c r="O12" s="215" t="inlineStr">
        <is>
          <t>RFS DONE</t>
        </is>
      </c>
      <c r="U12" s="211" t="n">
        <v>14</v>
      </c>
      <c r="V12" s="211" t="n">
        <v>126</v>
      </c>
      <c r="W12" s="211">
        <f>U12-V12</f>
        <v/>
      </c>
      <c r="X12" s="211" t="n">
        <v>14</v>
      </c>
    </row>
    <row r="13" ht="61.5" customHeight="1" thickBot="1">
      <c r="C13" s="199" t="n">
        <v>2</v>
      </c>
      <c r="D13" s="216" t="inlineStr">
        <is>
          <t>I-RJ-DENA-ENB-6083</t>
        </is>
      </c>
      <c r="E13" s="216" t="inlineStr">
        <is>
          <t>I-RJ-DENA-PMP-0006</t>
        </is>
      </c>
      <c r="F13" s="216" t="inlineStr">
        <is>
          <t>I-RJ-DENA-ENB-6083-1</t>
        </is>
      </c>
      <c r="G13" s="216" t="n">
        <v>1</v>
      </c>
      <c r="H13" s="217" t="inlineStr">
        <is>
          <t>GBT</t>
        </is>
      </c>
      <c r="I13" s="216" t="inlineStr">
        <is>
          <t>Makrana</t>
        </is>
      </c>
      <c r="J13" s="218" t="inlineStr">
        <is>
          <t>JLJH</t>
        </is>
      </c>
      <c r="K13" s="204" t="inlineStr">
        <is>
          <t>RJ21GA6945</t>
        </is>
      </c>
      <c r="L13" s="204" t="n">
        <v>275977438</v>
      </c>
      <c r="M13" s="219" t="n">
        <v>46051</v>
      </c>
      <c r="N13" s="219" t="n">
        <v>46053</v>
      </c>
      <c r="O13" s="215" t="inlineStr">
        <is>
          <t>RFS DONE</t>
        </is>
      </c>
      <c r="U13" s="211" t="n">
        <v>126</v>
      </c>
      <c r="V13" s="211" t="n">
        <v>193</v>
      </c>
      <c r="W13" s="211">
        <f>U13-V13</f>
        <v/>
      </c>
      <c r="X13" s="211" t="n">
        <v>126</v>
      </c>
    </row>
    <row r="14" ht="70.5" customHeight="1" thickBot="1">
      <c r="C14" s="199" t="n">
        <v>3</v>
      </c>
      <c r="D14" s="216" t="inlineStr">
        <is>
          <t>I-RJ-PASS-ENB-9017</t>
        </is>
      </c>
      <c r="E14" s="216" t="inlineStr">
        <is>
          <t>I-RJ-PASS-PMP-0007</t>
        </is>
      </c>
      <c r="F14" s="216" t="inlineStr">
        <is>
          <t>I-RJ-PASS-ENB-9017-1</t>
        </is>
      </c>
      <c r="G14" s="216" t="n">
        <v>1</v>
      </c>
      <c r="H14" s="217" t="inlineStr">
        <is>
          <t>GBT</t>
        </is>
      </c>
      <c r="I14" s="216" t="inlineStr">
        <is>
          <t>Makrana</t>
        </is>
      </c>
      <c r="J14" s="218" t="inlineStr">
        <is>
          <t>JLJH</t>
        </is>
      </c>
      <c r="K14" s="204" t="inlineStr">
        <is>
          <t>RJ21GA6945</t>
        </is>
      </c>
      <c r="L14" s="204" t="n">
        <v>275977591</v>
      </c>
      <c r="M14" s="219" t="n">
        <v>46051</v>
      </c>
      <c r="N14" s="219" t="n">
        <v>46053</v>
      </c>
      <c r="O14" s="215" t="inlineStr">
        <is>
          <t>RFS DONE</t>
        </is>
      </c>
      <c r="U14" s="211" t="n">
        <v>35</v>
      </c>
      <c r="V14" s="211" t="n">
        <v>216</v>
      </c>
      <c r="W14" s="211">
        <f>U14-V14</f>
        <v/>
      </c>
      <c r="X14" s="211" t="n">
        <v>35</v>
      </c>
    </row>
    <row r="15" ht="70.5" customHeight="1" thickBot="1">
      <c r="C15" s="199" t="n">
        <v>4</v>
      </c>
      <c r="D15" s="216" t="inlineStr">
        <is>
          <t>I-RJ-PASS-ENB-9023</t>
        </is>
      </c>
      <c r="E15" s="216" t="inlineStr">
        <is>
          <t>I-RJ-PASS-PMP-0008</t>
        </is>
      </c>
      <c r="F15" s="216" t="inlineStr">
        <is>
          <t>I-RJ-PASS-ENB-9023-1</t>
        </is>
      </c>
      <c r="G15" s="216" t="n">
        <v>1</v>
      </c>
      <c r="H15" s="217" t="inlineStr">
        <is>
          <t>GBT</t>
        </is>
      </c>
      <c r="I15" s="216" t="inlineStr">
        <is>
          <t>Makrana</t>
        </is>
      </c>
      <c r="J15" s="218" t="inlineStr">
        <is>
          <t>JLJH</t>
        </is>
      </c>
      <c r="K15" s="204" t="inlineStr">
        <is>
          <t>RJ21GA6945</t>
        </is>
      </c>
      <c r="L15" s="204" t="n">
        <v>275977592</v>
      </c>
      <c r="M15" s="219" t="n">
        <v>46051</v>
      </c>
      <c r="N15" s="219" t="n">
        <v>46053</v>
      </c>
      <c r="O15" s="215" t="inlineStr">
        <is>
          <t>RFS DONE</t>
        </is>
      </c>
      <c r="U15" s="211" t="n">
        <v>5</v>
      </c>
      <c r="V15" s="211" t="n">
        <v>218</v>
      </c>
      <c r="W15" s="211">
        <f>U15-V15</f>
        <v/>
      </c>
      <c r="X15" s="211" t="n">
        <v>5</v>
      </c>
    </row>
    <row r="16" ht="70.5" customHeight="1" thickBot="1">
      <c r="C16" s="199" t="n">
        <v>5</v>
      </c>
      <c r="D16" s="216" t="inlineStr">
        <is>
          <t>I-RJ-KESR-ENB-V001</t>
        </is>
      </c>
      <c r="E16" s="216" t="inlineStr">
        <is>
          <t>I-RJ-KESR-PMP-0018</t>
        </is>
      </c>
      <c r="F16" s="216" t="inlineStr">
        <is>
          <t>I-RJ-KESR-ENB-V001-2</t>
        </is>
      </c>
      <c r="G16" s="216" t="n">
        <v>1</v>
      </c>
      <c r="H16" s="217" t="inlineStr">
        <is>
          <t>GBT</t>
        </is>
      </c>
      <c r="I16" s="216" t="inlineStr">
        <is>
          <t>Nagaur</t>
        </is>
      </c>
      <c r="J16" s="218" t="inlineStr">
        <is>
          <t>JLJH</t>
        </is>
      </c>
      <c r="K16" s="204" t="inlineStr">
        <is>
          <t>RJ21GA6945</t>
        </is>
      </c>
      <c r="L16" s="204" t="n">
        <v>275991865</v>
      </c>
      <c r="M16" s="219" t="n">
        <v>46051</v>
      </c>
      <c r="N16" s="219" t="n">
        <v>46057</v>
      </c>
      <c r="O16" s="215" t="inlineStr">
        <is>
          <t>RFS DONE</t>
        </is>
      </c>
      <c r="U16" s="211" t="n">
        <v>62</v>
      </c>
      <c r="V16" s="211" t="n">
        <v>128</v>
      </c>
      <c r="W16" s="211">
        <f>U16-V16</f>
        <v/>
      </c>
      <c r="X16" s="211" t="n">
        <v>62</v>
      </c>
    </row>
    <row r="17" ht="87" customHeight="1" thickBot="1">
      <c r="C17" s="199" t="n">
        <v>6</v>
      </c>
      <c r="D17" s="216" t="inlineStr">
        <is>
          <t>I-RJ-DDWN-ENB-9017</t>
        </is>
      </c>
      <c r="E17" s="216" t="inlineStr">
        <is>
          <t>I-RJ-DDWN-PMP-0062</t>
        </is>
      </c>
      <c r="F17" s="216" t="inlineStr">
        <is>
          <t>I-RJ-DDWN-ENB-9017-2</t>
        </is>
      </c>
      <c r="G17" s="216" t="n">
        <v>1</v>
      </c>
      <c r="H17" s="217" t="inlineStr">
        <is>
          <t>GBT</t>
        </is>
      </c>
      <c r="I17" s="216" t="inlineStr">
        <is>
          <t>Ladnu</t>
        </is>
      </c>
      <c r="J17" s="218" t="inlineStr">
        <is>
          <t>JLJH</t>
        </is>
      </c>
      <c r="K17" s="204" t="inlineStr">
        <is>
          <t>RJ21GA6945</t>
        </is>
      </c>
      <c r="L17" s="204" t="n">
        <v>256653182</v>
      </c>
      <c r="M17" s="219" t="n">
        <v>46051</v>
      </c>
      <c r="N17" s="219" t="n">
        <v>46055</v>
      </c>
      <c r="O17" s="215" t="inlineStr">
        <is>
          <t>RFS DONE</t>
        </is>
      </c>
      <c r="U17" s="211" t="n">
        <v>167</v>
      </c>
      <c r="V17" s="211" t="n">
        <v>229</v>
      </c>
      <c r="W17" s="211">
        <f>U17-V17</f>
        <v/>
      </c>
      <c r="X17" s="211" t="n">
        <v>167</v>
      </c>
    </row>
    <row r="18" ht="87" customHeight="1" thickBot="1">
      <c r="C18" s="199" t="n">
        <v>7</v>
      </c>
      <c r="D18" s="216" t="inlineStr">
        <is>
          <t>I-RJ-MKRN-ENB-9035</t>
        </is>
      </c>
      <c r="E18" s="216" t="inlineStr">
        <is>
          <t>I-RJ-MKRN-PMP-0030</t>
        </is>
      </c>
      <c r="F18" s="216" t="inlineStr">
        <is>
          <t>I-RJ-MKRN-ENB-9035-1</t>
        </is>
      </c>
      <c r="G18" s="216" t="n">
        <v>1</v>
      </c>
      <c r="H18" s="217" t="inlineStr">
        <is>
          <t>GBT</t>
        </is>
      </c>
      <c r="I18" s="216" t="inlineStr">
        <is>
          <t>Makrana</t>
        </is>
      </c>
      <c r="J18" s="218" t="inlineStr">
        <is>
          <t>JLJH</t>
        </is>
      </c>
      <c r="K18" s="204" t="inlineStr">
        <is>
          <t>RJ21GA6945</t>
        </is>
      </c>
      <c r="L18" s="204" t="n">
        <v>275977586</v>
      </c>
      <c r="M18" s="219" t="n">
        <v>46051</v>
      </c>
      <c r="N18" s="219" t="n">
        <v>46055</v>
      </c>
      <c r="O18" s="215" t="inlineStr">
        <is>
          <t>RFS DONE</t>
        </is>
      </c>
      <c r="U18" s="207" t="n">
        <v>30</v>
      </c>
      <c r="V18" s="207" t="n">
        <v>247</v>
      </c>
      <c r="W18" s="211">
        <f>U18-V18</f>
        <v/>
      </c>
      <c r="X18" s="207" t="n">
        <v>30</v>
      </c>
    </row>
    <row r="19" ht="87" customHeight="1" thickBot="1">
      <c r="C19" s="199" t="n">
        <v>8</v>
      </c>
      <c r="D19" s="216" t="inlineStr">
        <is>
          <t>I-RJ-JAAW-ENB-6003</t>
        </is>
      </c>
      <c r="E19" s="216" t="inlineStr">
        <is>
          <t>I-RJ-JAAW-PMP-0004</t>
        </is>
      </c>
      <c r="F19" s="216" t="inlineStr">
        <is>
          <t>I-RJ-JAAW-ENB-6003-3</t>
        </is>
      </c>
      <c r="G19" s="216" t="n">
        <v>1</v>
      </c>
      <c r="H19" s="217" t="inlineStr">
        <is>
          <t>GBT</t>
        </is>
      </c>
      <c r="I19" s="216" t="inlineStr">
        <is>
          <t>Jalor</t>
        </is>
      </c>
      <c r="J19" s="218" t="inlineStr">
        <is>
          <t>JLJH</t>
        </is>
      </c>
      <c r="K19" s="204" t="inlineStr">
        <is>
          <t>RJ21GA6945</t>
        </is>
      </c>
      <c r="L19" s="204" t="n">
        <v>275977441</v>
      </c>
      <c r="M19" s="219" t="n">
        <v>46051</v>
      </c>
      <c r="N19" s="219" t="n">
        <v>46055</v>
      </c>
      <c r="O19" s="215" t="inlineStr">
        <is>
          <t>RFS DONE</t>
        </is>
      </c>
      <c r="U19" s="211" t="n">
        <v>114</v>
      </c>
      <c r="V19" s="211" t="n">
        <v>179</v>
      </c>
      <c r="W19" s="211">
        <f>U19-V19</f>
        <v/>
      </c>
      <c r="X19" s="211" t="n">
        <v>114</v>
      </c>
    </row>
    <row r="20" ht="87" customHeight="1" thickBot="1">
      <c r="C20" s="199" t="n">
        <v>9</v>
      </c>
      <c r="D20" s="216" t="inlineStr">
        <is>
          <t>I-RJ-JAAW-ENB-6004</t>
        </is>
      </c>
      <c r="E20" s="216" t="inlineStr">
        <is>
          <t>I-RJ-JAAW-PMP-0005</t>
        </is>
      </c>
      <c r="F20" s="216" t="inlineStr">
        <is>
          <t>I-RJ-JAAW-ENB-6004-2-3</t>
        </is>
      </c>
      <c r="G20" s="216" t="n">
        <v>2</v>
      </c>
      <c r="H20" s="217" t="inlineStr">
        <is>
          <t>GBT</t>
        </is>
      </c>
      <c r="I20" s="216" t="inlineStr">
        <is>
          <t>Jalor</t>
        </is>
      </c>
      <c r="J20" s="218" t="inlineStr">
        <is>
          <t>JLJH</t>
        </is>
      </c>
      <c r="K20" s="204" t="inlineStr">
        <is>
          <t>RJ21GA6945</t>
        </is>
      </c>
      <c r="L20" s="204" t="n">
        <v>275977552</v>
      </c>
      <c r="M20" s="219" t="n">
        <v>46051</v>
      </c>
      <c r="N20" s="219" t="n">
        <v>46053</v>
      </c>
      <c r="O20" s="215" t="inlineStr">
        <is>
          <t>RFS DONE</t>
        </is>
      </c>
      <c r="U20" s="211" t="n">
        <v>8</v>
      </c>
      <c r="V20" s="211" t="n">
        <v>184</v>
      </c>
      <c r="W20" s="211">
        <f>U20-V20</f>
        <v/>
      </c>
      <c r="X20" s="211" t="n">
        <v>8</v>
      </c>
    </row>
    <row r="21" ht="87" customHeight="1" thickBot="1">
      <c r="C21" s="199" t="n">
        <v>10</v>
      </c>
      <c r="D21" s="216" t="inlineStr">
        <is>
          <t>I-RJ-SNCE-ENB-9092</t>
        </is>
      </c>
      <c r="E21" s="216" t="inlineStr">
        <is>
          <t>I-RJ-SNCE-PMP-0017</t>
        </is>
      </c>
      <c r="F21" s="216" t="inlineStr">
        <is>
          <t>I-RJ-SNCE-ENB-9092-1-2-3</t>
        </is>
      </c>
      <c r="G21" s="216" t="n">
        <v>3</v>
      </c>
      <c r="H21" s="217" t="inlineStr">
        <is>
          <t>GBT</t>
        </is>
      </c>
      <c r="I21" s="216" t="inlineStr">
        <is>
          <t>Jalor</t>
        </is>
      </c>
      <c r="J21" s="218" t="inlineStr">
        <is>
          <t>JLJH</t>
        </is>
      </c>
      <c r="K21" s="204" t="inlineStr">
        <is>
          <t>RJ21GA6945</t>
        </is>
      </c>
      <c r="L21" s="204" t="n">
        <v>275977597</v>
      </c>
      <c r="M21" s="219" t="n">
        <v>46051</v>
      </c>
      <c r="N21" s="219" t="n">
        <v>46055</v>
      </c>
      <c r="O21" s="215" t="inlineStr">
        <is>
          <t>RFS DONE</t>
        </is>
      </c>
      <c r="U21" s="211" t="n">
        <v>40</v>
      </c>
      <c r="V21" s="211" t="n">
        <v>221</v>
      </c>
      <c r="W21" s="211">
        <f>U21-V21</f>
        <v/>
      </c>
      <c r="X21" s="211" t="n">
        <v>40</v>
      </c>
    </row>
    <row r="22" ht="87" customHeight="1" thickBot="1">
      <c r="C22" s="199" t="n">
        <v>11</v>
      </c>
      <c r="D22" s="216" t="inlineStr">
        <is>
          <t>I-RJ-BORA-ENB-6003</t>
        </is>
      </c>
      <c r="E22" s="216" t="inlineStr">
        <is>
          <t>I-RJ-BORA-PMP-0004</t>
        </is>
      </c>
      <c r="F22" s="216" t="inlineStr">
        <is>
          <t>I-RJ-BORA-ENB-6003-1</t>
        </is>
      </c>
      <c r="G22" s="216" t="n">
        <v>1</v>
      </c>
      <c r="H22" s="217" t="inlineStr">
        <is>
          <t>GBT</t>
        </is>
      </c>
      <c r="I22" s="216" t="inlineStr">
        <is>
          <t>Jalor</t>
        </is>
      </c>
      <c r="J22" s="218" t="inlineStr">
        <is>
          <t>JLJH</t>
        </is>
      </c>
      <c r="K22" s="204" t="inlineStr">
        <is>
          <t>RJ21GA6945</t>
        </is>
      </c>
      <c r="L22" s="204" t="n">
        <v>275977435</v>
      </c>
      <c r="M22" s="219" t="n">
        <v>46051</v>
      </c>
      <c r="N22" s="219" t="n">
        <v>46052</v>
      </c>
      <c r="O22" s="215" t="inlineStr">
        <is>
          <t>RFS DONE</t>
        </is>
      </c>
      <c r="U22" s="211" t="n">
        <v>168</v>
      </c>
      <c r="V22" s="211" t="n">
        <v>212</v>
      </c>
      <c r="W22" s="211">
        <f>U22-V22</f>
        <v/>
      </c>
      <c r="X22" s="211" t="n">
        <v>168</v>
      </c>
    </row>
    <row r="23" ht="87" customHeight="1" thickBot="1">
      <c r="C23" s="199" t="n">
        <v>12</v>
      </c>
      <c r="D23" s="216" t="inlineStr">
        <is>
          <t>I-RJ-BORA-ENB-9028</t>
        </is>
      </c>
      <c r="E23" s="216" t="inlineStr">
        <is>
          <t>I-RJ-BORA-PMP-0021</t>
        </is>
      </c>
      <c r="F23" s="216" t="inlineStr">
        <is>
          <t>I-RJ-BORA-ENB-9028-1</t>
        </is>
      </c>
      <c r="G23" s="216" t="n">
        <v>1</v>
      </c>
      <c r="H23" s="217" t="inlineStr">
        <is>
          <t>GBT</t>
        </is>
      </c>
      <c r="I23" s="216" t="inlineStr">
        <is>
          <t>Jalor</t>
        </is>
      </c>
      <c r="J23" s="218" t="inlineStr">
        <is>
          <t>JLJH</t>
        </is>
      </c>
      <c r="K23" s="204" t="inlineStr">
        <is>
          <t>RJ21GA6945</t>
        </is>
      </c>
      <c r="L23" s="204" t="n">
        <v>275977437</v>
      </c>
      <c r="M23" s="219" t="n">
        <v>46051</v>
      </c>
      <c r="N23" s="219" t="n">
        <v>46053</v>
      </c>
      <c r="O23" s="215" t="inlineStr">
        <is>
          <t>RFS DONE</t>
        </is>
      </c>
      <c r="U23" s="211" t="n">
        <v>21</v>
      </c>
      <c r="V23" s="211" t="n">
        <v>193</v>
      </c>
      <c r="W23" s="211">
        <f>U23-V23</f>
        <v/>
      </c>
      <c r="X23" s="211" t="n">
        <v>21</v>
      </c>
    </row>
    <row r="24" ht="87" customHeight="1" thickBot="1">
      <c r="C24" s="199" t="n">
        <v>13</v>
      </c>
      <c r="D24" s="216" t="inlineStr">
        <is>
          <t>I-RJ-BNML-ENB-9034</t>
        </is>
      </c>
      <c r="E24" s="216" t="inlineStr">
        <is>
          <t>I-RJ-BNML-PMP-0008</t>
        </is>
      </c>
      <c r="F24" s="216" t="inlineStr">
        <is>
          <t>I-RJ-BNML-ENB-9034-2</t>
        </is>
      </c>
      <c r="G24" s="216" t="n">
        <v>1</v>
      </c>
      <c r="H24" s="217" t="inlineStr">
        <is>
          <t>GBT</t>
        </is>
      </c>
      <c r="I24" s="216" t="inlineStr">
        <is>
          <t>Jalor</t>
        </is>
      </c>
      <c r="J24" s="218" t="inlineStr">
        <is>
          <t>JLJH</t>
        </is>
      </c>
      <c r="K24" s="204" t="inlineStr">
        <is>
          <t>RJ21GA6945</t>
        </is>
      </c>
      <c r="L24" s="204" t="n">
        <v>275977432</v>
      </c>
      <c r="M24" s="219" t="n">
        <v>46051</v>
      </c>
      <c r="N24" s="219" t="n">
        <v>46053</v>
      </c>
      <c r="O24" s="215" t="inlineStr">
        <is>
          <t>RFS DONE</t>
        </is>
      </c>
      <c r="U24" s="211" t="n">
        <v>20</v>
      </c>
      <c r="V24" s="211" t="n">
        <v>193</v>
      </c>
      <c r="W24" s="211">
        <f>U24-V24</f>
        <v/>
      </c>
      <c r="X24" s="211" t="n">
        <v>20</v>
      </c>
    </row>
    <row r="25" ht="87" customHeight="1" thickBot="1">
      <c r="C25" s="199" t="n">
        <v>14</v>
      </c>
      <c r="D25" s="216" t="inlineStr">
        <is>
          <t>I-RJ-JLOR-ENB-9037</t>
        </is>
      </c>
      <c r="E25" s="216" t="inlineStr">
        <is>
          <t>I-RJ-JLOR-PMP-0016</t>
        </is>
      </c>
      <c r="F25" s="216" t="inlineStr">
        <is>
          <t>I-RJ-JLOR-ENB-9037-3</t>
        </is>
      </c>
      <c r="G25" s="216" t="n">
        <v>1</v>
      </c>
      <c r="H25" s="217" t="inlineStr">
        <is>
          <t>GBT</t>
        </is>
      </c>
      <c r="I25" s="216" t="inlineStr">
        <is>
          <t>Jalor</t>
        </is>
      </c>
      <c r="J25" s="218" t="inlineStr">
        <is>
          <t>JLJH</t>
        </is>
      </c>
      <c r="K25" s="204" t="inlineStr">
        <is>
          <t>RJ21GA6945</t>
        </is>
      </c>
      <c r="L25" s="204" t="n">
        <v>275977564</v>
      </c>
      <c r="M25" s="219" t="n">
        <v>46051</v>
      </c>
      <c r="N25" s="219" t="n">
        <v>46052</v>
      </c>
      <c r="O25" s="215" t="inlineStr">
        <is>
          <t>RFS DONE</t>
        </is>
      </c>
      <c r="U25" s="211" t="n">
        <v>71</v>
      </c>
      <c r="V25" s="220" t="n">
        <v>129</v>
      </c>
      <c r="W25" s="211">
        <f>U25-V25</f>
        <v/>
      </c>
      <c r="X25" s="211" t="n">
        <v>71</v>
      </c>
    </row>
    <row r="26" ht="87" customHeight="1" thickBot="1">
      <c r="C26" s="199" t="n">
        <v>15</v>
      </c>
      <c r="D26" s="216" t="inlineStr">
        <is>
          <t>I-RJ-BAGA-ENB-6000</t>
        </is>
      </c>
      <c r="E26" s="216" t="inlineStr">
        <is>
          <t>I-RJ-BAGA-PMP-0001</t>
        </is>
      </c>
      <c r="F26" s="216" t="inlineStr">
        <is>
          <t>I-RJ-BAGA-ENB-6000-3</t>
        </is>
      </c>
      <c r="G26" s="216" t="n">
        <v>1</v>
      </c>
      <c r="H26" s="217" t="inlineStr">
        <is>
          <t>GBT</t>
        </is>
      </c>
      <c r="I26" s="216" t="inlineStr">
        <is>
          <t>Jalor</t>
        </is>
      </c>
      <c r="J26" s="218" t="inlineStr">
        <is>
          <t>JLJH</t>
        </is>
      </c>
      <c r="K26" s="204" t="inlineStr">
        <is>
          <t>RJ21GA6945</t>
        </is>
      </c>
      <c r="L26" s="204" t="n">
        <v>275977429</v>
      </c>
      <c r="M26" s="219" t="n">
        <v>46051</v>
      </c>
      <c r="N26" s="219" t="n">
        <v>46052</v>
      </c>
      <c r="O26" s="215" t="inlineStr">
        <is>
          <t>RFS DONE</t>
        </is>
      </c>
      <c r="U26" s="211" t="n">
        <v>21</v>
      </c>
      <c r="V26" s="211" t="n">
        <v>150</v>
      </c>
      <c r="W26" s="211">
        <f>U26-V26</f>
        <v/>
      </c>
      <c r="X26" s="211" t="n">
        <v>21</v>
      </c>
    </row>
    <row r="27" ht="87" customHeight="1" thickBot="1">
      <c r="C27" s="199" t="n">
        <v>16</v>
      </c>
      <c r="D27" s="216" t="inlineStr">
        <is>
          <t>I-RJ-BNML-ENB-6004</t>
        </is>
      </c>
      <c r="E27" s="216" t="inlineStr">
        <is>
          <t>I-RJ-BNML-PMP-0003</t>
        </is>
      </c>
      <c r="F27" s="216" t="inlineStr">
        <is>
          <t>I-RJ-BNML-ENB-6004-1</t>
        </is>
      </c>
      <c r="G27" s="216" t="n">
        <v>1</v>
      </c>
      <c r="H27" s="217" t="inlineStr">
        <is>
          <t>GBT</t>
        </is>
      </c>
      <c r="I27" s="216" t="inlineStr">
        <is>
          <t>Jalor</t>
        </is>
      </c>
      <c r="J27" s="218" t="inlineStr">
        <is>
          <t>JLJH</t>
        </is>
      </c>
      <c r="K27" s="204" t="inlineStr">
        <is>
          <t>RJ21GA6945</t>
        </is>
      </c>
      <c r="L27" s="204" t="n">
        <v>275977430</v>
      </c>
      <c r="M27" s="219" t="n">
        <v>46051</v>
      </c>
      <c r="N27" s="219" t="n">
        <v>46052</v>
      </c>
      <c r="O27" s="215" t="inlineStr">
        <is>
          <t>RFS DONE</t>
        </is>
      </c>
      <c r="U27" s="211" t="n">
        <v>55</v>
      </c>
      <c r="V27" s="211" t="n">
        <v>209</v>
      </c>
      <c r="W27" s="211">
        <f>U27-V27</f>
        <v/>
      </c>
      <c r="X27" s="211" t="n">
        <v>55</v>
      </c>
    </row>
    <row r="28" ht="87" customHeight="1" thickBot="1">
      <c r="C28" s="199" t="n">
        <v>17</v>
      </c>
      <c r="D28" s="216" t="inlineStr">
        <is>
          <t>I-RJ-SNCE-ENB-9008</t>
        </is>
      </c>
      <c r="E28" s="216" t="inlineStr">
        <is>
          <t>I-RJ-SNCE-PMP-0005</t>
        </is>
      </c>
      <c r="F28" s="216" t="inlineStr">
        <is>
          <t>I-RJ-SNCE-ENB-9008-2-3</t>
        </is>
      </c>
      <c r="G28" s="216" t="n">
        <v>2</v>
      </c>
      <c r="H28" s="217" t="inlineStr">
        <is>
          <t>GBT</t>
        </is>
      </c>
      <c r="I28" s="216" t="inlineStr">
        <is>
          <t>Jalor</t>
        </is>
      </c>
      <c r="J28" s="218" t="inlineStr">
        <is>
          <t>JLJH</t>
        </is>
      </c>
      <c r="K28" s="204" t="inlineStr">
        <is>
          <t>RJ21GA6945</t>
        </is>
      </c>
      <c r="L28" s="204" t="n">
        <v>275977593</v>
      </c>
      <c r="M28" s="219" t="n">
        <v>46051</v>
      </c>
      <c r="N28" s="219" t="n">
        <v>46053</v>
      </c>
      <c r="O28" s="215" t="inlineStr">
        <is>
          <t>RFS DONE</t>
        </is>
      </c>
      <c r="U28" s="211" t="n">
        <v>185</v>
      </c>
      <c r="V28" s="211" t="n">
        <v>254</v>
      </c>
      <c r="W28" s="211">
        <f>U28-V28</f>
        <v/>
      </c>
      <c r="X28" s="211" t="n">
        <v>185</v>
      </c>
    </row>
    <row r="29" ht="87" customHeight="1" thickBot="1">
      <c r="C29" s="199" t="n">
        <v>18</v>
      </c>
      <c r="D29" s="216" t="inlineStr">
        <is>
          <t>I-RJ-SNCE-ENB-9036</t>
        </is>
      </c>
      <c r="E29" s="216" t="inlineStr">
        <is>
          <t>I-RJ-SNCE-PMP-0013</t>
        </is>
      </c>
      <c r="F29" s="216" t="inlineStr">
        <is>
          <t>I-RJ-SNCE-ENB-9036-1</t>
        </is>
      </c>
      <c r="G29" s="216" t="n">
        <v>1</v>
      </c>
      <c r="H29" s="217" t="inlineStr">
        <is>
          <t>GBT</t>
        </is>
      </c>
      <c r="I29" s="216" t="inlineStr">
        <is>
          <t>Jalor</t>
        </is>
      </c>
      <c r="J29" s="218" t="inlineStr">
        <is>
          <t>JLJH</t>
        </is>
      </c>
      <c r="K29" s="204" t="inlineStr">
        <is>
          <t>RJ21GA6945</t>
        </is>
      </c>
      <c r="L29" s="204" t="n">
        <v>275977594</v>
      </c>
      <c r="M29" s="219" t="n">
        <v>46051</v>
      </c>
      <c r="N29" s="219" t="n">
        <v>46053</v>
      </c>
      <c r="O29" s="215" t="inlineStr">
        <is>
          <t>RFS DONE</t>
        </is>
      </c>
      <c r="U29" s="211" t="n">
        <v>18</v>
      </c>
      <c r="V29" s="211" t="n">
        <v>267</v>
      </c>
      <c r="W29" s="211">
        <f>U29-V29</f>
        <v/>
      </c>
      <c r="X29" s="211" t="n">
        <v>18</v>
      </c>
    </row>
    <row r="30" ht="87" customHeight="1" thickBot="1">
      <c r="C30" s="199" t="n">
        <v>19</v>
      </c>
      <c r="D30" s="216" t="inlineStr">
        <is>
          <t>I-RJ-SNCE-ENB-9076</t>
        </is>
      </c>
      <c r="E30" s="216" t="inlineStr">
        <is>
          <t>I-RJ-SNCE-PMP-0014</t>
        </is>
      </c>
      <c r="F30" s="216" t="inlineStr">
        <is>
          <t>I-RJ-SNCE-ENB-9076-3</t>
        </is>
      </c>
      <c r="G30" s="216" t="n">
        <v>1</v>
      </c>
      <c r="H30" s="217" t="inlineStr">
        <is>
          <t>GBT</t>
        </is>
      </c>
      <c r="I30" s="216" t="inlineStr">
        <is>
          <t>Jalor</t>
        </is>
      </c>
      <c r="J30" s="218" t="inlineStr">
        <is>
          <t>JLJH</t>
        </is>
      </c>
      <c r="K30" s="204" t="inlineStr">
        <is>
          <t>RJ21GA6945</t>
        </is>
      </c>
      <c r="L30" s="204" t="n">
        <v>275977596</v>
      </c>
      <c r="M30" s="219" t="n">
        <v>46051</v>
      </c>
      <c r="N30" s="219" t="n">
        <v>46055</v>
      </c>
      <c r="O30" s="215" t="inlineStr">
        <is>
          <t>RFS DONE</t>
        </is>
      </c>
      <c r="U30" s="211" t="n">
        <v>31</v>
      </c>
      <c r="V30" s="211" t="n">
        <v>283</v>
      </c>
      <c r="W30" s="211">
        <f>U30-V30</f>
        <v/>
      </c>
      <c r="X30" s="211" t="n">
        <v>31</v>
      </c>
    </row>
    <row r="31" ht="87" customHeight="1" thickBot="1">
      <c r="C31" s="199" t="n">
        <v>20</v>
      </c>
      <c r="D31" s="216" t="inlineStr">
        <is>
          <t>I-RJ-KDRD-ENB-6000</t>
        </is>
      </c>
      <c r="E31" s="216" t="inlineStr">
        <is>
          <t>I-RJ-KDRD-PMP-0001</t>
        </is>
      </c>
      <c r="F31" s="216" t="inlineStr">
        <is>
          <t>I-RJ-KDRD-ENB-6000-2</t>
        </is>
      </c>
      <c r="G31" s="216" t="n">
        <v>1</v>
      </c>
      <c r="H31" s="217" t="inlineStr">
        <is>
          <t>GBT</t>
        </is>
      </c>
      <c r="I31" s="216" t="inlineStr">
        <is>
          <t>Jalor</t>
        </is>
      </c>
      <c r="J31" s="218" t="inlineStr">
        <is>
          <t>JLJH</t>
        </is>
      </c>
      <c r="K31" s="204" t="inlineStr">
        <is>
          <t>RJ21GA6945</t>
        </is>
      </c>
      <c r="L31" s="204" t="n">
        <v>275977585</v>
      </c>
      <c r="M31" s="219" t="n">
        <v>46051</v>
      </c>
      <c r="N31" s="219" t="n">
        <v>46052</v>
      </c>
      <c r="O31" s="215" t="inlineStr">
        <is>
          <t>RFS DONE</t>
        </is>
      </c>
      <c r="U31" s="211" t="n">
        <v>184</v>
      </c>
      <c r="V31" s="211" t="n">
        <v>222</v>
      </c>
      <c r="W31" s="211">
        <f>U31-V31</f>
        <v/>
      </c>
      <c r="X31" s="211" t="n">
        <v>184</v>
      </c>
    </row>
    <row r="32" ht="87" customHeight="1" thickBot="1">
      <c r="C32" s="199" t="n">
        <v>21</v>
      </c>
      <c r="D32" s="216" t="inlineStr">
        <is>
          <t>I-RJ-SNCE-ENB-9107</t>
        </is>
      </c>
      <c r="E32" s="216" t="inlineStr">
        <is>
          <t>I-RJ-SNCE-PMP-0020</t>
        </is>
      </c>
      <c r="F32" s="216" t="inlineStr">
        <is>
          <t>I-RJ-SNCE-ENB-9107-1</t>
        </is>
      </c>
      <c r="G32" s="216" t="n">
        <v>1</v>
      </c>
      <c r="H32" s="217" t="inlineStr">
        <is>
          <t>GBT</t>
        </is>
      </c>
      <c r="I32" s="216" t="inlineStr">
        <is>
          <t>Jalor</t>
        </is>
      </c>
      <c r="J32" s="218" t="inlineStr">
        <is>
          <t>JLJH</t>
        </is>
      </c>
      <c r="K32" s="204" t="inlineStr">
        <is>
          <t>RJ21GA6945</t>
        </is>
      </c>
      <c r="L32" s="204" t="n">
        <v>275977600</v>
      </c>
      <c r="M32" s="219" t="n">
        <v>46051</v>
      </c>
      <c r="N32" s="219" t="n">
        <v>46052</v>
      </c>
      <c r="O32" s="215" t="inlineStr">
        <is>
          <t>RFS DONE</t>
        </is>
      </c>
      <c r="U32" s="211" t="n">
        <v>28</v>
      </c>
      <c r="V32" s="211" t="n">
        <v>250</v>
      </c>
      <c r="W32" s="211">
        <f>U32-V32</f>
        <v/>
      </c>
      <c r="X32" s="211" t="n">
        <v>28</v>
      </c>
    </row>
    <row r="33" ht="70.5" customHeight="1" thickBot="1">
      <c r="C33" s="199" t="n">
        <v>22</v>
      </c>
      <c r="D33" s="216" t="inlineStr">
        <is>
          <t>I-RJ-SNCE-ENB-9102</t>
        </is>
      </c>
      <c r="E33" s="216" t="inlineStr">
        <is>
          <t>I-RJ-SNCE-PMP-0019</t>
        </is>
      </c>
      <c r="F33" s="216" t="inlineStr">
        <is>
          <t>I-RJ-SNCE-ENB-9102-3</t>
        </is>
      </c>
      <c r="G33" s="216" t="n">
        <v>1</v>
      </c>
      <c r="H33" s="217" t="inlineStr">
        <is>
          <t>GBT</t>
        </is>
      </c>
      <c r="I33" s="216" t="inlineStr">
        <is>
          <t>Jalor</t>
        </is>
      </c>
      <c r="J33" s="218" t="inlineStr">
        <is>
          <t>JLJH</t>
        </is>
      </c>
      <c r="K33" s="204" t="inlineStr">
        <is>
          <t>RJ21GA6945</t>
        </is>
      </c>
      <c r="L33" s="204" t="n">
        <v>275977598</v>
      </c>
      <c r="M33" s="219" t="n">
        <v>46051</v>
      </c>
      <c r="N33" s="219" t="n">
        <v>46052</v>
      </c>
      <c r="O33" s="215" t="inlineStr">
        <is>
          <t>RFS DONE</t>
        </is>
      </c>
      <c r="U33" s="211" t="n">
        <v>15</v>
      </c>
      <c r="V33" s="211" t="n">
        <v>264</v>
      </c>
      <c r="W33" s="211">
        <f>U33-V33</f>
        <v/>
      </c>
      <c r="X33" s="211" t="n">
        <v>15</v>
      </c>
      <c r="Y33" s="159" t="n"/>
      <c r="Z33" s="159" t="n"/>
    </row>
    <row r="34" ht="76.95" customHeight="1">
      <c r="C34" s="197" t="n"/>
      <c r="D34" s="143" t="n"/>
      <c r="E34" s="143" t="n"/>
      <c r="F34" s="143" t="n"/>
      <c r="G34" s="143" t="n"/>
      <c r="H34" s="143" t="n"/>
      <c r="I34" s="143" t="n"/>
      <c r="J34" s="143" t="n"/>
      <c r="K34" s="143" t="n"/>
      <c r="L34" s="143" t="n"/>
      <c r="M34" s="143" t="n"/>
      <c r="N34" s="143" t="n"/>
      <c r="O34" s="59" t="n"/>
      <c r="U34" s="158">
        <f>SUM(U12:U33)</f>
        <v/>
      </c>
      <c r="V34" s="158" t="n"/>
      <c r="W34" s="158" t="n"/>
      <c r="X34" s="158">
        <f>SUM(X12:X33)</f>
        <v/>
      </c>
    </row>
    <row r="35" ht="82.95" customHeight="1">
      <c r="C35" s="60" t="inlineStr">
        <is>
          <t xml:space="preserve">         SIGN:                                                                                                                                                                                                                                                          </t>
        </is>
      </c>
      <c r="D35" s="135" t="n"/>
      <c r="E35" s="1" t="n"/>
      <c r="F35" s="136" t="inlineStr">
        <is>
          <t xml:space="preserve"> SIGN:     </t>
        </is>
      </c>
      <c r="G35" s="1" t="n"/>
      <c r="H35" s="136" t="n"/>
      <c r="I35" s="137" t="n"/>
      <c r="J35" s="136" t="n"/>
      <c r="K35" s="136" t="n"/>
      <c r="L35" s="136" t="n"/>
      <c r="M35" s="138" t="inlineStr">
        <is>
          <t>SIGN:</t>
        </is>
      </c>
      <c r="N35" s="136" t="n"/>
      <c r="O35" s="129" t="n"/>
      <c r="P35" s="1" t="n"/>
      <c r="Q35" s="1" t="n"/>
      <c r="R35" s="137" t="n"/>
      <c r="S35" s="136" t="inlineStr">
        <is>
          <t>   </t>
        </is>
      </c>
      <c r="T35" s="136" t="n"/>
      <c r="U35" s="136" t="n"/>
      <c r="V35" s="137" t="n"/>
      <c r="X35" s="136" t="n"/>
      <c r="Y35" s="136" t="n"/>
    </row>
    <row r="36" ht="71.25" customHeight="1">
      <c r="C36" s="60" t="n"/>
      <c r="D36" s="135" t="n"/>
      <c r="E36" s="1" t="n"/>
      <c r="F36" s="136" t="inlineStr">
        <is>
          <t xml:space="preserve"> PROJECT-IN-CHARGE </t>
        </is>
      </c>
      <c r="G36" s="1" t="n"/>
      <c r="H36" s="136" t="n"/>
      <c r="I36" s="137" t="n"/>
      <c r="J36" s="136" t="n"/>
      <c r="K36" s="136" t="n"/>
      <c r="L36" s="136" t="n"/>
      <c r="M36" s="138" t="inlineStr">
        <is>
          <t>DEPLOYMENT HEAD</t>
        </is>
      </c>
      <c r="N36" s="136" t="n"/>
      <c r="O36" s="130" t="n"/>
      <c r="P36" s="1" t="n"/>
      <c r="Q36" s="1" t="n"/>
      <c r="R36" s="1" t="n"/>
      <c r="S36" s="135" t="n"/>
      <c r="T36" s="136" t="n"/>
      <c r="U36" s="136" t="n"/>
      <c r="V36" s="136" t="n"/>
      <c r="X36" s="136" t="n"/>
      <c r="Y36" s="136" t="n"/>
    </row>
    <row r="37" ht="61.2" customHeight="1">
      <c r="C37" s="60" t="inlineStr">
        <is>
          <t>                                                                                                                                                                                                                                                                                              </t>
        </is>
      </c>
      <c r="D37" s="135" t="n"/>
      <c r="E37" s="1" t="n"/>
      <c r="F37" s="135" t="inlineStr">
        <is>
          <t xml:space="preserve"> MR. YUNUS KHAN</t>
        </is>
      </c>
      <c r="G37" s="1" t="n"/>
      <c r="H37" s="137" t="n"/>
      <c r="I37" s="136" t="n"/>
      <c r="J37" s="136" t="n"/>
      <c r="K37" s="136" t="n"/>
      <c r="L37" s="136" t="n"/>
      <c r="M37" s="138" t="inlineStr">
        <is>
          <t xml:space="preserve">MR. MANISH NAHAR </t>
        </is>
      </c>
      <c r="N37" s="136" t="n"/>
      <c r="O37" s="131" t="n"/>
      <c r="P37" s="1" t="n"/>
      <c r="Q37" s="1" t="n"/>
      <c r="R37" s="135" t="n"/>
      <c r="S37" s="135" t="n"/>
      <c r="T37" s="136" t="n"/>
      <c r="U37" s="136" t="n"/>
      <c r="V37" s="136" t="n"/>
      <c r="X37" s="136" t="n"/>
      <c r="Y37" s="136" t="n"/>
    </row>
    <row r="38" ht="61.2" customHeight="1">
      <c r="C38" s="60" t="inlineStr">
        <is>
          <t xml:space="preserve">         DATE:                                                                                                                                                                                                                                                                                                                                      DATE:</t>
        </is>
      </c>
      <c r="D38" s="135" t="n"/>
      <c r="E38" s="1" t="n"/>
      <c r="F38" s="136" t="inlineStr">
        <is>
          <t xml:space="preserve">  DATE:  </t>
        </is>
      </c>
      <c r="G38" s="1" t="n"/>
      <c r="H38" s="136" t="n"/>
      <c r="I38" s="137" t="n"/>
      <c r="J38" s="136" t="n"/>
      <c r="K38" s="136" t="n"/>
      <c r="L38" s="136" t="n"/>
      <c r="M38" s="138" t="inlineStr">
        <is>
          <t xml:space="preserve">DATE:  </t>
        </is>
      </c>
      <c r="N38" s="136" t="n"/>
      <c r="O38" s="131" t="n"/>
      <c r="P38" s="1" t="n"/>
      <c r="Q38" s="1" t="n"/>
      <c r="R38" s="135" t="n"/>
      <c r="S38" s="135" t="n"/>
      <c r="T38" s="136" t="n"/>
      <c r="U38" s="136" t="n"/>
      <c r="V38" s="136" t="n"/>
      <c r="X38" s="136" t="n"/>
      <c r="Y38" s="136" t="n"/>
    </row>
    <row r="39" ht="61.2" customHeight="1">
      <c r="C39" s="60" t="n"/>
      <c r="D39" s="135" t="n"/>
      <c r="E39" s="135" t="n"/>
      <c r="F39" s="135" t="n"/>
      <c r="G39" s="136" t="n"/>
      <c r="H39" s="136" t="n"/>
      <c r="I39" s="136" t="n"/>
      <c r="J39" s="136" t="n"/>
      <c r="K39" s="136" t="n"/>
      <c r="L39" s="136" t="n"/>
      <c r="M39" s="136" t="n"/>
      <c r="N39" s="136" t="n"/>
      <c r="O39" s="132" t="n"/>
      <c r="P39" s="136" t="n"/>
      <c r="Q39" s="136" t="n"/>
      <c r="R39" s="136" t="n"/>
      <c r="S39" s="136" t="n"/>
      <c r="T39" s="136" t="n"/>
      <c r="U39" s="136" t="n"/>
      <c r="V39" s="136" t="n"/>
      <c r="W39" s="136" t="n"/>
      <c r="X39" s="136" t="n"/>
      <c r="Y39" s="136" t="n"/>
    </row>
    <row r="40" ht="59.4" customHeight="1">
      <c r="C40" s="67" t="n"/>
      <c r="D40" s="68" t="n"/>
      <c r="E40" s="68" t="n"/>
      <c r="F40" s="68" t="n"/>
      <c r="G40" s="62" t="n"/>
      <c r="H40" s="69" t="n"/>
      <c r="I40" s="69" t="n"/>
      <c r="J40" s="68" t="n"/>
      <c r="K40" s="69" t="n"/>
      <c r="L40" s="69" t="n"/>
      <c r="M40" s="69" t="n"/>
      <c r="N40" s="68" t="n"/>
      <c r="O40" s="70" t="n"/>
    </row>
    <row r="41" ht="60" customHeight="1" thickBot="1">
      <c r="C41" s="71" t="n"/>
      <c r="D41" s="72" t="n"/>
      <c r="E41" s="72" t="n"/>
      <c r="F41" s="72" t="n"/>
      <c r="G41" s="72" t="n"/>
      <c r="H41" s="72" t="n"/>
      <c r="I41" s="72" t="n"/>
      <c r="J41" s="72" t="n"/>
      <c r="K41" s="72" t="n"/>
      <c r="L41" s="72" t="n"/>
      <c r="M41" s="72" t="n"/>
      <c r="N41" s="72" t="n"/>
      <c r="O41" s="73" t="n"/>
    </row>
  </sheetData>
  <autoFilter ref="C11:O11"/>
  <mergeCells count="2">
    <mergeCell ref="C5:O5"/>
    <mergeCell ref="C6:O9"/>
  </mergeCells>
  <conditionalFormatting sqref="D12:D33">
    <cfRule type="duplicateValues" priority="2" dxfId="0"/>
  </conditionalFormatting>
  <pageMargins left="0.3" right="0.35" top="0.498030402" bottom="0.498030402" header="0.31496062992126" footer="0.31496062992126"/>
  <pageSetup orientation="landscape" paperSize="9" scale="20" horizontalDpi="4294967293"/>
</worksheet>
</file>

<file path=xl/worksheets/sheet3.xml><?xml version="1.0" encoding="utf-8"?>
<worksheet xmlns="http://schemas.openxmlformats.org/spreadsheetml/2006/main">
  <sheetPr>
    <outlinePr summaryBelow="1" summaryRight="1"/>
    <pageSetUpPr fitToPage="1"/>
  </sheetPr>
  <dimension ref="A1:AM34"/>
  <sheetViews>
    <sheetView topLeftCell="A7" zoomScale="27" zoomScaleNormal="27" workbookViewId="0">
      <selection activeCell="D11" sqref="D11:Y11"/>
    </sheetView>
  </sheetViews>
  <sheetFormatPr baseColWidth="8" defaultColWidth="9.33203125" defaultRowHeight="58.5" customHeight="1"/>
  <cols>
    <col width="40.6640625" customWidth="1" style="143" min="1" max="1"/>
    <col width="155.88671875" customWidth="1" style="3" min="2" max="2"/>
    <col width="31.33203125" customWidth="1" style="3" min="3" max="3"/>
    <col width="17.109375" customWidth="1" style="84" min="4" max="25"/>
    <col width="18.6640625" customWidth="1" style="84" min="26" max="26"/>
    <col width="30.109375" customWidth="1" style="143" min="27" max="27"/>
    <col width="37.44140625" customWidth="1" style="143" min="28" max="28"/>
    <col width="42" customWidth="1" style="143" min="29" max="29"/>
    <col width="9.33203125" customWidth="1" style="143" min="30" max="16384"/>
  </cols>
  <sheetData>
    <row r="1" ht="19.8" customHeight="1">
      <c r="A1" s="117" t="n"/>
      <c r="B1" s="118" t="n"/>
      <c r="C1" s="118"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c r="AA1" s="120" t="n"/>
      <c r="AB1" s="120" t="n"/>
      <c r="AC1" s="121" t="n"/>
    </row>
    <row r="2" ht="20.4" customHeight="1" thickBot="1">
      <c r="A2" s="122" t="n"/>
      <c r="B2" s="123" t="n"/>
      <c r="C2" s="123"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5" t="n"/>
      <c r="AB2" s="125" t="n"/>
      <c r="AC2" s="126" t="n"/>
    </row>
    <row r="3" ht="93" customFormat="1" customHeight="1" s="6" thickBot="1">
      <c r="A3" s="412" t="inlineStr">
        <is>
          <t>JMS</t>
        </is>
      </c>
      <c r="B3" s="405" t="n"/>
      <c r="C3" s="405" t="n"/>
      <c r="D3" s="405" t="n"/>
      <c r="E3" s="405" t="n"/>
      <c r="F3" s="405" t="n"/>
      <c r="G3" s="405" t="n"/>
      <c r="H3" s="405" t="n"/>
      <c r="I3" s="405" t="n"/>
      <c r="J3" s="405" t="n"/>
      <c r="K3" s="405" t="n"/>
      <c r="L3" s="405" t="n"/>
      <c r="M3" s="405" t="n"/>
      <c r="N3" s="405" t="n"/>
      <c r="O3" s="405" t="n"/>
      <c r="P3" s="405" t="n"/>
      <c r="Q3" s="405" t="n"/>
      <c r="R3" s="405" t="n"/>
      <c r="S3" s="405" t="n"/>
      <c r="T3" s="405" t="n"/>
      <c r="U3" s="405" t="n"/>
      <c r="V3" s="405" t="n"/>
      <c r="W3" s="405" t="n"/>
      <c r="X3" s="405" t="n"/>
      <c r="Y3" s="405" t="n"/>
      <c r="Z3" s="405" t="n"/>
      <c r="AA3" s="405" t="n"/>
      <c r="AB3" s="405" t="n"/>
      <c r="AC3" s="406" t="n"/>
    </row>
    <row r="4" ht="58.5" customHeight="1">
      <c r="A4" s="45" t="n"/>
      <c r="B4" s="46" t="n"/>
      <c r="C4" s="46" t="n"/>
      <c r="D4" s="78" t="n"/>
      <c r="E4" s="78" t="n"/>
      <c r="F4" s="78" t="n"/>
      <c r="G4" s="78" t="n"/>
      <c r="H4" s="270" t="inlineStr">
        <is>
          <t xml:space="preserve">Work Order No :P14/630330726
</t>
        </is>
      </c>
      <c r="I4" s="400" t="n"/>
      <c r="J4" s="400" t="n"/>
      <c r="K4" s="400" t="n"/>
      <c r="L4" s="400" t="n"/>
      <c r="M4" s="400" t="n"/>
      <c r="N4" s="400" t="n"/>
      <c r="O4" s="400" t="n"/>
      <c r="P4" s="400" t="n"/>
      <c r="Q4" s="400" t="n"/>
      <c r="R4" s="400" t="n"/>
      <c r="S4" s="400" t="n"/>
      <c r="T4" s="400" t="n"/>
      <c r="U4" s="400" t="n"/>
      <c r="V4" s="400" t="n"/>
      <c r="W4" s="400" t="n"/>
      <c r="X4" s="400" t="n"/>
      <c r="Y4" s="203" t="n"/>
      <c r="Z4" s="133" t="n"/>
      <c r="AC4" s="59" t="n"/>
    </row>
    <row r="5" ht="46.2" customHeight="1">
      <c r="A5" s="65" t="inlineStr">
        <is>
          <t>Contractor Name: DIGITCOM INDIA TECHNOLOGIES</t>
        </is>
      </c>
      <c r="B5" s="144" t="n"/>
      <c r="C5" s="144" t="n"/>
      <c r="D5" s="145" t="n"/>
      <c r="E5" s="145" t="n"/>
      <c r="F5" s="145" t="n"/>
      <c r="G5" s="145" t="n"/>
      <c r="H5" s="272" t="inlineStr">
        <is>
          <t xml:space="preserve">          Work Order Dated:  03-10-2025</t>
        </is>
      </c>
      <c r="Y5" s="272" t="n"/>
      <c r="Z5" s="145" t="n"/>
      <c r="AC5" s="59" t="n"/>
    </row>
    <row r="6" ht="46.2" customHeight="1">
      <c r="A6" s="65" t="inlineStr">
        <is>
          <t>WO for Airspan A6 and C6 Radios for Airfiber</t>
        </is>
      </c>
      <c r="B6" s="144" t="n"/>
      <c r="C6" s="144" t="n"/>
      <c r="D6" s="145" t="n"/>
      <c r="E6" s="145" t="n"/>
      <c r="F6" s="145" t="n"/>
      <c r="G6" s="145" t="n"/>
      <c r="H6" s="272" t="n"/>
      <c r="Y6" s="272" t="n"/>
      <c r="Z6" s="145" t="n"/>
      <c r="AC6" s="59" t="n"/>
    </row>
    <row r="7" ht="46.2" customHeight="1">
      <c r="A7" s="66" t="n"/>
      <c r="B7" s="146" t="n"/>
      <c r="C7" s="146" t="n"/>
      <c r="D7" s="133" t="n"/>
      <c r="E7" s="133" t="n"/>
      <c r="F7" s="133" t="n"/>
      <c r="G7" s="133" t="n"/>
      <c r="H7" s="133" t="n"/>
      <c r="I7" s="133" t="n"/>
      <c r="J7" s="147" t="n"/>
      <c r="K7" s="147" t="inlineStr">
        <is>
          <t xml:space="preserve">                        Service Done From Date: 30-01-26</t>
        </is>
      </c>
      <c r="L7" s="147" t="n"/>
      <c r="M7" s="147" t="n"/>
      <c r="N7" s="147" t="n"/>
      <c r="O7" s="147" t="n"/>
      <c r="P7" s="147" t="n"/>
      <c r="Q7" s="147" t="n"/>
      <c r="R7" s="147" t="n"/>
      <c r="S7" s="147" t="n"/>
      <c r="T7" s="147" t="n"/>
      <c r="U7" s="147" t="n"/>
      <c r="V7" s="147" t="n"/>
      <c r="W7" s="147" t="n"/>
      <c r="X7" s="147" t="n"/>
      <c r="Y7" s="147" t="n"/>
      <c r="Z7" s="133" t="n"/>
      <c r="AC7" s="59" t="n"/>
    </row>
    <row r="8" ht="46.5" customHeight="1">
      <c r="A8" s="50" t="n"/>
      <c r="B8" s="148" t="n"/>
      <c r="C8" s="148" t="n"/>
      <c r="D8" s="133" t="n"/>
      <c r="E8" s="133" t="n"/>
      <c r="F8" s="133" t="n"/>
      <c r="G8" s="133" t="n"/>
      <c r="H8" s="133" t="n"/>
      <c r="I8" s="133" t="n"/>
      <c r="J8" s="147" t="n"/>
      <c r="K8" s="147" t="inlineStr">
        <is>
          <t xml:space="preserve">                   Service Done To Date: 04-02-26</t>
        </is>
      </c>
      <c r="L8" s="147" t="n"/>
      <c r="M8" s="147" t="n"/>
      <c r="N8" s="147" t="n"/>
      <c r="O8" s="147" t="n"/>
      <c r="P8" s="147" t="n"/>
      <c r="Q8" s="147" t="n"/>
      <c r="R8" s="147" t="n"/>
      <c r="S8" s="147" t="n"/>
      <c r="T8" s="147" t="n"/>
      <c r="U8" s="147" t="n"/>
      <c r="V8" s="147" t="n"/>
      <c r="W8" s="147" t="n"/>
      <c r="X8" s="147" t="n"/>
      <c r="Y8" s="147" t="n"/>
      <c r="Z8" s="133" t="n"/>
      <c r="AC8" s="59" t="n"/>
    </row>
    <row r="9" ht="28.5" customHeight="1">
      <c r="A9" s="50" t="n"/>
      <c r="B9" s="148" t="n"/>
      <c r="C9" s="148" t="n"/>
      <c r="D9" s="133" t="n"/>
      <c r="E9" s="133" t="n"/>
      <c r="F9" s="133" t="n"/>
      <c r="G9" s="133" t="n"/>
      <c r="H9" s="133" t="n"/>
      <c r="I9" s="133" t="n"/>
      <c r="J9" s="133" t="n"/>
      <c r="K9" s="133" t="n"/>
      <c r="L9" s="133" t="n"/>
      <c r="M9" s="133" t="n"/>
      <c r="N9" s="133" t="n"/>
      <c r="O9" s="133" t="n"/>
      <c r="P9" s="133" t="n"/>
      <c r="Q9" s="133" t="n"/>
      <c r="R9" s="133" t="n"/>
      <c r="S9" s="133" t="n"/>
      <c r="T9" s="133" t="n"/>
      <c r="U9" s="133" t="n"/>
      <c r="V9" s="133" t="n"/>
      <c r="W9" s="133" t="n"/>
      <c r="X9" s="133" t="n"/>
      <c r="Y9" s="133" t="n"/>
      <c r="Z9" s="133" t="n"/>
      <c r="AA9" s="148" t="n"/>
      <c r="AB9" s="148" t="n"/>
      <c r="AC9" s="48" t="n"/>
    </row>
    <row r="10" ht="21.75" customHeight="1" thickBot="1">
      <c r="A10" s="76" t="n"/>
      <c r="B10" s="149" t="n"/>
      <c r="C10" s="149" t="n"/>
      <c r="D10" s="150" t="n"/>
      <c r="E10" s="150" t="n"/>
      <c r="F10" s="150" t="n"/>
      <c r="G10" s="150" t="n"/>
      <c r="H10" s="150" t="n"/>
      <c r="I10" s="150" t="n"/>
      <c r="J10" s="150" t="n"/>
      <c r="K10" s="150" t="n"/>
      <c r="L10" s="150" t="n"/>
      <c r="M10" s="150" t="n"/>
      <c r="N10" s="150" t="n"/>
      <c r="O10" s="150" t="n"/>
      <c r="P10" s="150" t="n"/>
      <c r="Q10" s="150" t="n"/>
      <c r="R10" s="150" t="n"/>
      <c r="S10" s="150" t="n"/>
      <c r="T10" s="150" t="n"/>
      <c r="U10" s="150" t="n"/>
      <c r="V10" s="150" t="n"/>
      <c r="W10" s="150" t="n"/>
      <c r="X10" s="150" t="n"/>
      <c r="Y10" s="150" t="n"/>
      <c r="Z10" s="150" t="n"/>
      <c r="AA10" s="77" t="n"/>
      <c r="AB10" s="142" t="n"/>
      <c r="AC10" s="40" t="n"/>
    </row>
    <row r="11" ht="66" customFormat="1" customHeight="1" s="4" thickBot="1">
      <c r="A11" s="160" t="n"/>
      <c r="B11" s="161" t="inlineStr">
        <is>
          <t>Count -</t>
        </is>
      </c>
      <c r="C11" s="161" t="n"/>
      <c r="D11" s="266" t="n">
        <v>1</v>
      </c>
      <c r="E11" s="266" t="n">
        <v>2</v>
      </c>
      <c r="F11" s="266" t="n">
        <v>3</v>
      </c>
      <c r="G11" s="266" t="n">
        <v>4</v>
      </c>
      <c r="H11" s="266" t="n">
        <v>5</v>
      </c>
      <c r="I11" s="266" t="n">
        <v>6</v>
      </c>
      <c r="J11" s="266" t="n">
        <v>7</v>
      </c>
      <c r="K11" s="266" t="n">
        <v>8</v>
      </c>
      <c r="L11" s="266" t="n">
        <v>9</v>
      </c>
      <c r="M11" s="266" t="n">
        <v>10</v>
      </c>
      <c r="N11" s="266" t="n">
        <v>11</v>
      </c>
      <c r="O11" s="266" t="n">
        <v>12</v>
      </c>
      <c r="P11" s="266" t="n">
        <v>13</v>
      </c>
      <c r="Q11" s="266" t="n">
        <v>14</v>
      </c>
      <c r="R11" s="266" t="n">
        <v>15</v>
      </c>
      <c r="S11" s="266" t="n">
        <v>16</v>
      </c>
      <c r="T11" s="266" t="n">
        <v>17</v>
      </c>
      <c r="U11" s="266" t="n">
        <v>18</v>
      </c>
      <c r="V11" s="266" t="n">
        <v>19</v>
      </c>
      <c r="W11" s="266" t="n">
        <v>20</v>
      </c>
      <c r="X11" s="266" t="n">
        <v>21</v>
      </c>
      <c r="Y11" s="266" t="n">
        <v>22</v>
      </c>
      <c r="Z11" s="266" t="n"/>
      <c r="AA11" s="163" t="n"/>
      <c r="AB11" s="164" t="n"/>
      <c r="AC11" s="164" t="n"/>
    </row>
    <row r="12" ht="409.6" customHeight="1" thickBot="1">
      <c r="A12" s="165" t="inlineStr">
        <is>
          <t>Code</t>
        </is>
      </c>
      <c r="B12" s="165" t="inlineStr">
        <is>
          <t>Site ID --</t>
        </is>
      </c>
      <c r="C12" s="165" t="n"/>
      <c r="D12" s="221" t="inlineStr">
        <is>
          <t>I-RJ-MRTA-PMP-0053</t>
        </is>
      </c>
      <c r="E12" s="221" t="inlineStr">
        <is>
          <t>I-RJ-DENA-PMP-0006</t>
        </is>
      </c>
      <c r="F12" s="221" t="inlineStr">
        <is>
          <t>I-RJ-PASS-PMP-0007</t>
        </is>
      </c>
      <c r="G12" s="221" t="inlineStr">
        <is>
          <t>I-RJ-PASS-PMP-0008</t>
        </is>
      </c>
      <c r="H12" s="221" t="inlineStr">
        <is>
          <t>I-RJ-KESR-PMP-0018</t>
        </is>
      </c>
      <c r="I12" s="221" t="inlineStr">
        <is>
          <t>I-RJ-DDWN-PMP-0062</t>
        </is>
      </c>
      <c r="J12" s="221" t="inlineStr">
        <is>
          <t>I-RJ-MKRN-PMP-0030</t>
        </is>
      </c>
      <c r="K12" s="221" t="inlineStr">
        <is>
          <t>I-RJ-JAAW-PMP-0004</t>
        </is>
      </c>
      <c r="L12" s="221" t="inlineStr">
        <is>
          <t>I-RJ-JAAW-PMP-0005</t>
        </is>
      </c>
      <c r="M12" s="221" t="inlineStr">
        <is>
          <t>I-RJ-SNCE-PMP-0017</t>
        </is>
      </c>
      <c r="N12" s="221" t="inlineStr">
        <is>
          <t>I-RJ-BORA-PMP-0004</t>
        </is>
      </c>
      <c r="O12" s="221" t="inlineStr">
        <is>
          <t>I-RJ-BORA-PMP-0021</t>
        </is>
      </c>
      <c r="P12" s="221" t="inlineStr">
        <is>
          <t>I-RJ-BNML-PMP-0008</t>
        </is>
      </c>
      <c r="Q12" s="221" t="inlineStr">
        <is>
          <t>I-RJ-JLOR-PMP-0016</t>
        </is>
      </c>
      <c r="R12" s="221" t="inlineStr">
        <is>
          <t>I-RJ-BAGA-PMP-0001</t>
        </is>
      </c>
      <c r="S12" s="221" t="inlineStr">
        <is>
          <t>I-RJ-BNML-PMP-0003</t>
        </is>
      </c>
      <c r="T12" s="221" t="inlineStr">
        <is>
          <t>I-RJ-SNCE-PMP-0005</t>
        </is>
      </c>
      <c r="U12" s="221" t="inlineStr">
        <is>
          <t>I-RJ-SNCE-PMP-0013</t>
        </is>
      </c>
      <c r="V12" s="221" t="inlineStr">
        <is>
          <t>I-RJ-SNCE-PMP-0014</t>
        </is>
      </c>
      <c r="W12" s="221" t="inlineStr">
        <is>
          <t>I-RJ-KDRD-PMP-0001</t>
        </is>
      </c>
      <c r="X12" s="221" t="inlineStr">
        <is>
          <t>I-RJ-SNCE-PMP-0020</t>
        </is>
      </c>
      <c r="Y12" s="221" t="inlineStr">
        <is>
          <t>I-RJ-SNCE-PMP-0019</t>
        </is>
      </c>
      <c r="Z12" s="166" t="n"/>
      <c r="AA12" s="167" t="inlineStr">
        <is>
          <t>Total Quantity</t>
        </is>
      </c>
      <c r="AB12" s="168" t="inlineStr">
        <is>
          <t>RATE AS PER SOW</t>
        </is>
      </c>
      <c r="AC12" s="169" t="inlineStr">
        <is>
          <t>AMOUNT</t>
        </is>
      </c>
    </row>
    <row r="13" ht="109.2" customHeight="1" thickBot="1">
      <c r="A13" s="266" t="n"/>
      <c r="B13" s="266" t="inlineStr">
        <is>
          <t>Site Type</t>
        </is>
      </c>
      <c r="C13" s="406" t="n"/>
      <c r="D13" s="206" t="inlineStr">
        <is>
          <t>GBT</t>
        </is>
      </c>
      <c r="E13" s="206" t="inlineStr">
        <is>
          <t>GBT</t>
        </is>
      </c>
      <c r="F13" s="206" t="inlineStr">
        <is>
          <t>GBT</t>
        </is>
      </c>
      <c r="G13" s="206" t="inlineStr">
        <is>
          <t>GBT</t>
        </is>
      </c>
      <c r="H13" s="206" t="inlineStr">
        <is>
          <t>GBT</t>
        </is>
      </c>
      <c r="I13" s="206" t="inlineStr">
        <is>
          <t>GBT</t>
        </is>
      </c>
      <c r="J13" s="206" t="inlineStr">
        <is>
          <t>GBT</t>
        </is>
      </c>
      <c r="K13" s="206" t="inlineStr">
        <is>
          <t>GBT</t>
        </is>
      </c>
      <c r="L13" s="206" t="inlineStr">
        <is>
          <t>GBT</t>
        </is>
      </c>
      <c r="M13" s="206" t="inlineStr">
        <is>
          <t>GBT</t>
        </is>
      </c>
      <c r="N13" s="206" t="inlineStr">
        <is>
          <t>GBT</t>
        </is>
      </c>
      <c r="O13" s="206" t="inlineStr">
        <is>
          <t>GBT</t>
        </is>
      </c>
      <c r="P13" s="206" t="inlineStr">
        <is>
          <t>GBT</t>
        </is>
      </c>
      <c r="Q13" s="206" t="inlineStr">
        <is>
          <t>GBT</t>
        </is>
      </c>
      <c r="R13" s="206" t="inlineStr">
        <is>
          <t>GBT</t>
        </is>
      </c>
      <c r="S13" s="206" t="inlineStr">
        <is>
          <t>GBT</t>
        </is>
      </c>
      <c r="T13" s="206" t="inlineStr">
        <is>
          <t>GBT</t>
        </is>
      </c>
      <c r="U13" s="206" t="inlineStr">
        <is>
          <t>GBT</t>
        </is>
      </c>
      <c r="V13" s="206" t="inlineStr">
        <is>
          <t>GBT</t>
        </is>
      </c>
      <c r="W13" s="206" t="inlineStr">
        <is>
          <t>GBT</t>
        </is>
      </c>
      <c r="X13" s="206" t="inlineStr">
        <is>
          <t>GBT</t>
        </is>
      </c>
      <c r="Y13" s="206" t="inlineStr">
        <is>
          <t>GBT</t>
        </is>
      </c>
      <c r="Z13" s="170" t="n"/>
      <c r="AA13" s="171" t="n"/>
      <c r="AB13" s="172" t="n"/>
      <c r="AC13" s="173" t="n"/>
    </row>
    <row r="14" ht="96.59999999999999" customHeight="1" thickBot="1">
      <c r="A14" s="266" t="n"/>
      <c r="B14" s="266" t="inlineStr">
        <is>
          <t>Sectors</t>
        </is>
      </c>
      <c r="C14" s="406" t="n"/>
      <c r="D14" s="216" t="n">
        <v>1</v>
      </c>
      <c r="E14" s="216" t="n">
        <v>1</v>
      </c>
      <c r="F14" s="216" t="n">
        <v>1</v>
      </c>
      <c r="G14" s="216" t="n">
        <v>1</v>
      </c>
      <c r="H14" s="216" t="n">
        <v>1</v>
      </c>
      <c r="I14" s="216" t="n">
        <v>1</v>
      </c>
      <c r="J14" s="216" t="n">
        <v>1</v>
      </c>
      <c r="K14" s="216" t="n">
        <v>1</v>
      </c>
      <c r="L14" s="216" t="n">
        <v>2</v>
      </c>
      <c r="M14" s="216" t="n">
        <v>3</v>
      </c>
      <c r="N14" s="216" t="n">
        <v>1</v>
      </c>
      <c r="O14" s="216" t="n">
        <v>1</v>
      </c>
      <c r="P14" s="216" t="n">
        <v>1</v>
      </c>
      <c r="Q14" s="216" t="n">
        <v>1</v>
      </c>
      <c r="R14" s="216" t="n">
        <v>1</v>
      </c>
      <c r="S14" s="216" t="n">
        <v>1</v>
      </c>
      <c r="T14" s="216" t="n">
        <v>2</v>
      </c>
      <c r="U14" s="216" t="n">
        <v>1</v>
      </c>
      <c r="V14" s="216" t="n">
        <v>1</v>
      </c>
      <c r="W14" s="216" t="n">
        <v>1</v>
      </c>
      <c r="X14" s="216" t="n">
        <v>1</v>
      </c>
      <c r="Y14" s="216" t="n">
        <v>1</v>
      </c>
      <c r="Z14" s="172" t="n"/>
      <c r="AA14" s="171">
        <f>SUM(D14:Y14)</f>
        <v/>
      </c>
      <c r="AB14" s="172" t="n"/>
      <c r="AC14" s="266" t="n"/>
    </row>
    <row r="15" ht="104.25" customHeight="1" thickBot="1">
      <c r="A15" s="175" t="inlineStr">
        <is>
          <t>Item code</t>
        </is>
      </c>
      <c r="B15" s="176" t="inlineStr">
        <is>
          <t>Description of Item</t>
        </is>
      </c>
      <c r="C15" s="177" t="inlineStr">
        <is>
          <t>UOM</t>
        </is>
      </c>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9" t="n"/>
      <c r="AA15" s="180" t="n"/>
      <c r="AB15" s="180" t="n"/>
      <c r="AC15" s="181" t="n"/>
    </row>
    <row r="16" ht="85.95" customHeight="1" thickBot="1">
      <c r="A16" s="183" t="n">
        <v>3367489</v>
      </c>
      <c r="B16" s="182" t="inlineStr">
        <is>
          <t>CHRG BASE RADIO INST&amp;COMS AZIMUTH</t>
        </is>
      </c>
      <c r="C16" s="183" t="inlineStr">
        <is>
          <t>EA</t>
        </is>
      </c>
      <c r="D16" s="222" t="n">
        <v>1</v>
      </c>
      <c r="E16" s="222" t="n">
        <v>1</v>
      </c>
      <c r="F16" s="222" t="n">
        <v>1</v>
      </c>
      <c r="G16" s="222" t="n">
        <v>1</v>
      </c>
      <c r="H16" s="222" t="n">
        <v>1</v>
      </c>
      <c r="I16" s="222" t="n">
        <v>1</v>
      </c>
      <c r="J16" s="222" t="n">
        <v>1</v>
      </c>
      <c r="K16" s="222" t="n">
        <v>1</v>
      </c>
      <c r="L16" s="222" t="n">
        <v>2</v>
      </c>
      <c r="M16" s="222" t="n">
        <v>3</v>
      </c>
      <c r="N16" s="222" t="n">
        <v>1</v>
      </c>
      <c r="O16" s="222" t="n">
        <v>1</v>
      </c>
      <c r="P16" s="222" t="n">
        <v>1</v>
      </c>
      <c r="Q16" s="222" t="n">
        <v>1</v>
      </c>
      <c r="R16" s="222" t="n">
        <v>1</v>
      </c>
      <c r="S16" s="222" t="n">
        <v>1</v>
      </c>
      <c r="T16" s="222" t="n">
        <v>2</v>
      </c>
      <c r="U16" s="222" t="n">
        <v>1</v>
      </c>
      <c r="V16" s="222" t="n">
        <v>1</v>
      </c>
      <c r="W16" s="222" t="n">
        <v>1</v>
      </c>
      <c r="X16" s="222" t="n">
        <v>1</v>
      </c>
      <c r="Y16" s="222" t="n">
        <v>1</v>
      </c>
      <c r="Z16" s="184" t="n"/>
      <c r="AA16" s="171">
        <f>SUM(D16:Y16)</f>
        <v/>
      </c>
      <c r="AB16" s="171" t="n">
        <v>200</v>
      </c>
      <c r="AC16" s="185">
        <f>AA16*AB16</f>
        <v/>
      </c>
    </row>
    <row r="17" ht="79.2" customHeight="1" thickBot="1">
      <c r="A17" s="183" t="n">
        <v>3367548</v>
      </c>
      <c r="B17" s="182" t="inlineStr">
        <is>
          <t>CHRG LAYING-MULTIMODE FIBER CABLE</t>
        </is>
      </c>
      <c r="C17" s="183" t="inlineStr">
        <is>
          <t>M</t>
        </is>
      </c>
      <c r="D17" s="223" t="n">
        <v>5</v>
      </c>
      <c r="E17" s="223" t="n">
        <v>5</v>
      </c>
      <c r="F17" s="223" t="n">
        <v>5</v>
      </c>
      <c r="G17" s="223" t="n">
        <v>5</v>
      </c>
      <c r="H17" s="223" t="n">
        <v>5</v>
      </c>
      <c r="I17" s="223" t="n">
        <v>5</v>
      </c>
      <c r="J17" s="222" t="n">
        <v>50</v>
      </c>
      <c r="K17" s="223" t="n">
        <v>5</v>
      </c>
      <c r="L17" s="223" t="n">
        <v>10</v>
      </c>
      <c r="M17" s="223" t="n">
        <v>60</v>
      </c>
      <c r="N17" s="223" t="n">
        <v>5</v>
      </c>
      <c r="O17" s="223" t="n">
        <v>50</v>
      </c>
      <c r="P17" s="223" t="n">
        <v>5</v>
      </c>
      <c r="Q17" s="222" t="n">
        <v>5</v>
      </c>
      <c r="R17" s="223" t="n">
        <v>5</v>
      </c>
      <c r="S17" s="223" t="n">
        <v>5</v>
      </c>
      <c r="T17" s="223" t="n">
        <v>100</v>
      </c>
      <c r="U17" s="223" t="n">
        <v>5</v>
      </c>
      <c r="V17" s="223" t="n">
        <v>50</v>
      </c>
      <c r="W17" s="223" t="n">
        <v>5</v>
      </c>
      <c r="X17" s="223" t="n">
        <v>50</v>
      </c>
      <c r="Y17" s="223" t="n">
        <v>50</v>
      </c>
      <c r="Z17" s="184" t="n"/>
      <c r="AA17" s="171">
        <f>SUM(D17:Y17)</f>
        <v/>
      </c>
      <c r="AB17" s="171" t="n">
        <v>5</v>
      </c>
      <c r="AC17" s="185">
        <f>AA17*AB17</f>
        <v/>
      </c>
    </row>
    <row r="18" ht="85.95" customHeight="1" thickBot="1">
      <c r="A18" s="183" t="n">
        <v>3137158</v>
      </c>
      <c r="B18" s="182" t="inlineStr">
        <is>
          <t>LAYING-2CX2.5SQMM POWER CABLE</t>
        </is>
      </c>
      <c r="C18" s="183" t="inlineStr">
        <is>
          <t>M</t>
        </is>
      </c>
      <c r="D18" s="223" t="n">
        <v>50</v>
      </c>
      <c r="E18" s="223" t="n">
        <v>50</v>
      </c>
      <c r="F18" s="223" t="n">
        <v>50</v>
      </c>
      <c r="G18" s="223" t="n">
        <v>50</v>
      </c>
      <c r="H18" s="223" t="n">
        <v>50</v>
      </c>
      <c r="I18" s="223" t="n">
        <v>50</v>
      </c>
      <c r="J18" s="222" t="n">
        <v>50</v>
      </c>
      <c r="K18" s="223" t="n">
        <v>50</v>
      </c>
      <c r="L18" s="223" t="n">
        <v>100</v>
      </c>
      <c r="M18" s="223" t="n">
        <v>150</v>
      </c>
      <c r="N18" s="223" t="n">
        <v>50</v>
      </c>
      <c r="O18" s="223" t="n">
        <v>50</v>
      </c>
      <c r="P18" s="223" t="n">
        <v>50</v>
      </c>
      <c r="Q18" s="222" t="n">
        <v>50</v>
      </c>
      <c r="R18" s="223" t="n">
        <v>50</v>
      </c>
      <c r="S18" s="223" t="n">
        <v>50</v>
      </c>
      <c r="T18" s="223" t="n">
        <v>100</v>
      </c>
      <c r="U18" s="223" t="n">
        <v>50</v>
      </c>
      <c r="V18" s="223" t="n">
        <v>50</v>
      </c>
      <c r="W18" s="223" t="n">
        <v>50</v>
      </c>
      <c r="X18" s="223" t="n">
        <v>50</v>
      </c>
      <c r="Y18" s="223" t="n">
        <v>50</v>
      </c>
      <c r="Z18" s="184" t="n"/>
      <c r="AA18" s="171">
        <f>SUM(D18:Y18)</f>
        <v/>
      </c>
      <c r="AB18" s="171" t="n">
        <v>12</v>
      </c>
      <c r="AC18" s="185">
        <f>AA18*AB18</f>
        <v/>
      </c>
    </row>
    <row r="19" ht="118.95" customFormat="1" customHeight="1" s="90" thickBot="1">
      <c r="A19" s="183" t="n">
        <v>3397253</v>
      </c>
      <c r="B19" s="182" t="inlineStr">
        <is>
          <t>CHRG EXTRA TRANSPORT. &gt; 50 KM (PICKUP</t>
        </is>
      </c>
      <c r="C19" s="183" t="inlineStr">
        <is>
          <t>KM</t>
        </is>
      </c>
      <c r="D19" s="224" t="n">
        <v>14</v>
      </c>
      <c r="E19" s="224" t="n">
        <v>126</v>
      </c>
      <c r="F19" s="224" t="n">
        <v>35</v>
      </c>
      <c r="G19" s="224" t="n">
        <v>5</v>
      </c>
      <c r="H19" s="224" t="n">
        <v>62</v>
      </c>
      <c r="I19" s="224" t="n">
        <v>167</v>
      </c>
      <c r="J19" s="174" t="n">
        <v>30</v>
      </c>
      <c r="K19" s="224" t="n">
        <v>114</v>
      </c>
      <c r="L19" s="224" t="n">
        <v>8</v>
      </c>
      <c r="M19" s="224" t="n">
        <v>40</v>
      </c>
      <c r="N19" s="224" t="n">
        <v>168</v>
      </c>
      <c r="O19" s="224" t="n">
        <v>21</v>
      </c>
      <c r="P19" s="224" t="n">
        <v>20</v>
      </c>
      <c r="Q19" s="224" t="n">
        <v>71</v>
      </c>
      <c r="R19" s="224" t="n">
        <v>21</v>
      </c>
      <c r="S19" s="224" t="n">
        <v>55</v>
      </c>
      <c r="T19" s="224" t="n">
        <v>185</v>
      </c>
      <c r="U19" s="224" t="n">
        <v>18</v>
      </c>
      <c r="V19" s="224" t="n">
        <v>31</v>
      </c>
      <c r="W19" s="224" t="n">
        <v>184</v>
      </c>
      <c r="X19" s="224" t="n">
        <v>28</v>
      </c>
      <c r="Y19" s="224" t="n">
        <v>15</v>
      </c>
      <c r="Z19" s="184" t="n"/>
      <c r="AA19" s="171">
        <f>SUM(D19:Y19)</f>
        <v/>
      </c>
      <c r="AB19" s="171" t="n">
        <v>20</v>
      </c>
      <c r="AC19" s="185">
        <f>AA19*AB19</f>
        <v/>
      </c>
      <c r="AM19" s="143" t="n"/>
    </row>
    <row r="20" ht="61.2" customHeight="1" thickBot="1">
      <c r="A20" s="183" t="n">
        <v>3397271</v>
      </c>
      <c r="B20" s="182" t="inlineStr">
        <is>
          <t xml:space="preserve">CHRG TRANSPORT-UPTO 50KM-SCV-2-3SITE </t>
        </is>
      </c>
      <c r="C20" s="183" t="inlineStr">
        <is>
          <t>EA</t>
        </is>
      </c>
      <c r="D20" s="174" t="n">
        <v>1</v>
      </c>
      <c r="E20" s="174" t="n">
        <v>1</v>
      </c>
      <c r="F20" s="174" t="n">
        <v>1</v>
      </c>
      <c r="G20" s="174" t="n">
        <v>1</v>
      </c>
      <c r="H20" s="174" t="n">
        <v>1</v>
      </c>
      <c r="I20" s="174" t="n">
        <v>1</v>
      </c>
      <c r="J20" s="174" t="n">
        <v>1</v>
      </c>
      <c r="K20" s="174" t="n">
        <v>1</v>
      </c>
      <c r="L20" s="174" t="n">
        <v>1</v>
      </c>
      <c r="M20" s="174" t="n">
        <v>1</v>
      </c>
      <c r="N20" s="174" t="n">
        <v>1</v>
      </c>
      <c r="O20" s="174" t="n">
        <v>1</v>
      </c>
      <c r="P20" s="174" t="n">
        <v>1</v>
      </c>
      <c r="Q20" s="174" t="n">
        <v>1</v>
      </c>
      <c r="R20" s="174" t="n">
        <v>1</v>
      </c>
      <c r="S20" s="174" t="n">
        <v>1</v>
      </c>
      <c r="T20" s="174" t="n">
        <v>1</v>
      </c>
      <c r="U20" s="174" t="n">
        <v>1</v>
      </c>
      <c r="V20" s="174" t="n">
        <v>1</v>
      </c>
      <c r="W20" s="174" t="n">
        <v>1</v>
      </c>
      <c r="X20" s="174" t="n">
        <v>1</v>
      </c>
      <c r="Y20" s="174" t="n">
        <v>1</v>
      </c>
      <c r="Z20" s="184" t="n"/>
      <c r="AA20" s="171">
        <f>SUM(D20:Y20)</f>
        <v/>
      </c>
      <c r="AB20" s="171" t="n">
        <v>1500</v>
      </c>
      <c r="AC20" s="185">
        <f>AA20*AB20</f>
        <v/>
      </c>
    </row>
    <row r="21" ht="61.2" customHeight="1" thickBot="1">
      <c r="A21" s="183" t="n">
        <v>3367713</v>
      </c>
      <c r="B21" s="182" t="inlineStr">
        <is>
          <t>CHRG ATP-11C - WIFI A6 DEPLOYMENT</t>
        </is>
      </c>
      <c r="C21" s="183" t="inlineStr">
        <is>
          <t>EA</t>
        </is>
      </c>
      <c r="D21" s="174" t="n">
        <v>1</v>
      </c>
      <c r="E21" s="174" t="n">
        <v>1</v>
      </c>
      <c r="F21" s="174" t="n">
        <v>1</v>
      </c>
      <c r="G21" s="174" t="n">
        <v>1</v>
      </c>
      <c r="H21" s="174" t="n">
        <v>1</v>
      </c>
      <c r="I21" s="174" t="n">
        <v>1</v>
      </c>
      <c r="J21" s="174" t="n">
        <v>1</v>
      </c>
      <c r="K21" s="174" t="n">
        <v>1</v>
      </c>
      <c r="L21" s="174" t="n">
        <v>1</v>
      </c>
      <c r="M21" s="174" t="n">
        <v>1</v>
      </c>
      <c r="N21" s="174" t="n">
        <v>1</v>
      </c>
      <c r="O21" s="174" t="n">
        <v>1</v>
      </c>
      <c r="P21" s="174" t="n">
        <v>1</v>
      </c>
      <c r="Q21" s="174" t="n">
        <v>1</v>
      </c>
      <c r="R21" s="174" t="n">
        <v>1</v>
      </c>
      <c r="S21" s="174" t="n">
        <v>1</v>
      </c>
      <c r="T21" s="174" t="n">
        <v>1</v>
      </c>
      <c r="U21" s="174" t="n">
        <v>1</v>
      </c>
      <c r="V21" s="174" t="n">
        <v>1</v>
      </c>
      <c r="W21" s="174" t="n">
        <v>1</v>
      </c>
      <c r="X21" s="174" t="n">
        <v>1</v>
      </c>
      <c r="Y21" s="174" t="n">
        <v>1</v>
      </c>
      <c r="Z21" s="184" t="n"/>
      <c r="AA21" s="171">
        <f>SUM(D21:Y21)</f>
        <v/>
      </c>
      <c r="AB21" s="171" t="n">
        <v>700</v>
      </c>
      <c r="AC21" s="185">
        <f>AA21*AB21</f>
        <v/>
      </c>
    </row>
    <row r="22" ht="61.2" customHeight="1" thickBot="1">
      <c r="A22" s="183" t="n">
        <v>3367739</v>
      </c>
      <c r="B22" s="182" t="inlineStr">
        <is>
          <t>CHRG ATP-11A - WIFI A6 DEPLOYMENT</t>
        </is>
      </c>
      <c r="C22" s="183" t="inlineStr">
        <is>
          <t>EA</t>
        </is>
      </c>
      <c r="D22" s="174" t="n">
        <v>1</v>
      </c>
      <c r="E22" s="174" t="n">
        <v>1</v>
      </c>
      <c r="F22" s="174" t="n">
        <v>1</v>
      </c>
      <c r="G22" s="174" t="n">
        <v>1</v>
      </c>
      <c r="H22" s="174" t="n">
        <v>1</v>
      </c>
      <c r="I22" s="174" t="n">
        <v>1</v>
      </c>
      <c r="J22" s="174" t="n">
        <v>1</v>
      </c>
      <c r="K22" s="174" t="n">
        <v>1</v>
      </c>
      <c r="L22" s="174" t="n">
        <v>1</v>
      </c>
      <c r="M22" s="174" t="n">
        <v>1</v>
      </c>
      <c r="N22" s="174" t="n">
        <v>1</v>
      </c>
      <c r="O22" s="174" t="n">
        <v>1</v>
      </c>
      <c r="P22" s="174" t="n">
        <v>1</v>
      </c>
      <c r="Q22" s="174" t="n">
        <v>1</v>
      </c>
      <c r="R22" s="174" t="n">
        <v>1</v>
      </c>
      <c r="S22" s="174" t="n">
        <v>1</v>
      </c>
      <c r="T22" s="174" t="n">
        <v>1</v>
      </c>
      <c r="U22" s="174" t="n">
        <v>1</v>
      </c>
      <c r="V22" s="174" t="n">
        <v>1</v>
      </c>
      <c r="W22" s="174" t="n">
        <v>1</v>
      </c>
      <c r="X22" s="174" t="n">
        <v>1</v>
      </c>
      <c r="Y22" s="174" t="n">
        <v>1</v>
      </c>
      <c r="Z22" s="184" t="n"/>
      <c r="AA22" s="171">
        <f>SUM(D22:Y22)</f>
        <v/>
      </c>
      <c r="AB22" s="171" t="n">
        <v>700</v>
      </c>
      <c r="AC22" s="185">
        <f>AA22*AB22</f>
        <v/>
      </c>
    </row>
    <row r="23" ht="61.2" customHeight="1" thickBot="1">
      <c r="A23" s="183" t="n">
        <v>3317347</v>
      </c>
      <c r="B23" s="182" t="inlineStr">
        <is>
          <t>SITC 1CX6 SQMM CU CBL YY FRLSH</t>
        </is>
      </c>
      <c r="C23" s="183" t="inlineStr">
        <is>
          <t>M</t>
        </is>
      </c>
      <c r="D23" s="174">
        <f>D16*2</f>
        <v/>
      </c>
      <c r="E23" s="174">
        <f>E16*2</f>
        <v/>
      </c>
      <c r="F23" s="174">
        <f>F16*2</f>
        <v/>
      </c>
      <c r="G23" s="174">
        <f>G16*2</f>
        <v/>
      </c>
      <c r="H23" s="174">
        <f>H16*2</f>
        <v/>
      </c>
      <c r="I23" s="174">
        <f>I16*2</f>
        <v/>
      </c>
      <c r="J23" s="174">
        <f>J16*2</f>
        <v/>
      </c>
      <c r="K23" s="174">
        <f>K16*2</f>
        <v/>
      </c>
      <c r="L23" s="174">
        <f>L16*2</f>
        <v/>
      </c>
      <c r="M23" s="174">
        <f>M16*2</f>
        <v/>
      </c>
      <c r="N23" s="174">
        <f>N16*2</f>
        <v/>
      </c>
      <c r="O23" s="174">
        <f>O16*2</f>
        <v/>
      </c>
      <c r="P23" s="174">
        <f>P16*2</f>
        <v/>
      </c>
      <c r="Q23" s="174">
        <f>Q16*2</f>
        <v/>
      </c>
      <c r="R23" s="174">
        <f>R16*2</f>
        <v/>
      </c>
      <c r="S23" s="174">
        <f>S16*2</f>
        <v/>
      </c>
      <c r="T23" s="174">
        <f>T16*2</f>
        <v/>
      </c>
      <c r="U23" s="174">
        <f>U16*2</f>
        <v/>
      </c>
      <c r="V23" s="174">
        <f>V16*2</f>
        <v/>
      </c>
      <c r="W23" s="174">
        <f>W16*2</f>
        <v/>
      </c>
      <c r="X23" s="174">
        <f>X16*2</f>
        <v/>
      </c>
      <c r="Y23" s="174">
        <f>Y16*2</f>
        <v/>
      </c>
      <c r="Z23" s="184" t="n"/>
      <c r="AA23" s="171">
        <f>SUM(D23:Y23)</f>
        <v/>
      </c>
      <c r="AB23" s="171" t="n">
        <v>68</v>
      </c>
      <c r="AC23" s="185">
        <f>AA23*AB23</f>
        <v/>
      </c>
    </row>
    <row r="24" ht="61.2" customHeight="1" thickBot="1">
      <c r="A24" s="205" t="n">
        <v>3383067</v>
      </c>
      <c r="B24" s="186" t="inlineStr">
        <is>
          <t>CHRG APPLY PUFF SEALENT AT CABLE ENTRY</t>
        </is>
      </c>
      <c r="C24" s="183" t="inlineStr">
        <is>
          <t>EA</t>
        </is>
      </c>
      <c r="D24" s="174" t="n">
        <v>1</v>
      </c>
      <c r="E24" s="174" t="n">
        <v>0</v>
      </c>
      <c r="F24" s="174" t="n">
        <v>1</v>
      </c>
      <c r="G24" s="174" t="n">
        <v>0</v>
      </c>
      <c r="H24" s="174" t="n">
        <v>1</v>
      </c>
      <c r="I24" s="174" t="n">
        <v>1</v>
      </c>
      <c r="J24" s="174" t="n">
        <v>0</v>
      </c>
      <c r="K24" s="174" t="n">
        <v>1</v>
      </c>
      <c r="L24" s="174" t="n">
        <v>0</v>
      </c>
      <c r="M24" s="174" t="n">
        <v>1</v>
      </c>
      <c r="N24" s="174" t="n">
        <v>0</v>
      </c>
      <c r="O24" s="174" t="n">
        <v>1</v>
      </c>
      <c r="P24" s="174" t="n">
        <v>1</v>
      </c>
      <c r="Q24" s="174" t="n">
        <v>0</v>
      </c>
      <c r="R24" s="174" t="n">
        <v>1</v>
      </c>
      <c r="S24" s="174" t="n">
        <v>0</v>
      </c>
      <c r="T24" s="174" t="n">
        <v>1</v>
      </c>
      <c r="U24" s="174" t="n">
        <v>0</v>
      </c>
      <c r="V24" s="174" t="n">
        <v>1</v>
      </c>
      <c r="W24" s="174" t="n">
        <v>0</v>
      </c>
      <c r="X24" s="174" t="n">
        <v>1</v>
      </c>
      <c r="Y24" s="174" t="n">
        <v>0</v>
      </c>
      <c r="Z24" s="184" t="n"/>
      <c r="AA24" s="171">
        <f>SUM(D24:Y24)</f>
        <v/>
      </c>
      <c r="AB24" s="171" t="n">
        <v>330</v>
      </c>
      <c r="AC24" s="185">
        <f>AA24*AB24</f>
        <v/>
      </c>
    </row>
    <row r="25" ht="61.2" customHeight="1" thickBot="1">
      <c r="A25" s="183" t="n">
        <v>3269867</v>
      </c>
      <c r="B25" s="182" t="inlineStr">
        <is>
          <t>TERMINATION OF CABLE 1CX6 SQMM Y</t>
        </is>
      </c>
      <c r="C25" s="187" t="inlineStr">
        <is>
          <t>M</t>
        </is>
      </c>
      <c r="D25" s="174">
        <f>D16*2</f>
        <v/>
      </c>
      <c r="E25" s="174">
        <f>E16*2</f>
        <v/>
      </c>
      <c r="F25" s="174">
        <f>F16*2</f>
        <v/>
      </c>
      <c r="G25" s="174">
        <f>G16*2</f>
        <v/>
      </c>
      <c r="H25" s="174">
        <f>H16*2</f>
        <v/>
      </c>
      <c r="I25" s="174">
        <f>I16*2</f>
        <v/>
      </c>
      <c r="J25" s="174">
        <f>J16*2</f>
        <v/>
      </c>
      <c r="K25" s="174">
        <f>K16*2</f>
        <v/>
      </c>
      <c r="L25" s="174">
        <f>L16*2</f>
        <v/>
      </c>
      <c r="M25" s="174">
        <f>M16*2</f>
        <v/>
      </c>
      <c r="N25" s="174">
        <f>N16*2</f>
        <v/>
      </c>
      <c r="O25" s="174">
        <f>O16*2</f>
        <v/>
      </c>
      <c r="P25" s="174">
        <f>P16*2</f>
        <v/>
      </c>
      <c r="Q25" s="174">
        <f>Q16*2</f>
        <v/>
      </c>
      <c r="R25" s="174">
        <f>R16*2</f>
        <v/>
      </c>
      <c r="S25" s="174">
        <f>S16*2</f>
        <v/>
      </c>
      <c r="T25" s="174">
        <f>T16*2</f>
        <v/>
      </c>
      <c r="U25" s="174">
        <f>U16*2</f>
        <v/>
      </c>
      <c r="V25" s="174">
        <f>V16*2</f>
        <v/>
      </c>
      <c r="W25" s="174">
        <f>W16*2</f>
        <v/>
      </c>
      <c r="X25" s="174">
        <f>X16*2</f>
        <v/>
      </c>
      <c r="Y25" s="174">
        <f>Y16*2</f>
        <v/>
      </c>
      <c r="Z25" s="184" t="n"/>
      <c r="AA25" s="171">
        <f>SUM(D25:Y25)</f>
        <v/>
      </c>
      <c r="AB25" s="171" t="n">
        <v>40</v>
      </c>
      <c r="AC25" s="185">
        <f>AA25*AB25</f>
        <v/>
      </c>
    </row>
    <row r="26" ht="61.2" customHeight="1" thickBot="1">
      <c r="A26" s="413" t="inlineStr">
        <is>
          <t>3397248</t>
        </is>
      </c>
      <c r="B26" s="413" t="inlineStr">
        <is>
          <t>EXTRA VISIT</t>
        </is>
      </c>
      <c r="C26" s="413" t="inlineStr">
        <is>
          <t>EA</t>
        </is>
      </c>
    </row>
    <row r="27" ht="61.2" customFormat="1" customHeight="1" s="1">
      <c r="A27" s="413" t="inlineStr">
        <is>
          <t>3268025</t>
        </is>
      </c>
      <c r="B27" s="413" t="inlineStr">
        <is>
          <t>INSTALLATION OF POLE MOUNT ON TOWER</t>
        </is>
      </c>
      <c r="C27" s="413" t="inlineStr">
        <is>
          <t>EA</t>
        </is>
      </c>
    </row>
    <row r="28" ht="61.2" customFormat="1" customHeight="1" s="1">
      <c r="A28" s="188" t="n"/>
      <c r="B28" s="188" t="n"/>
      <c r="C28" s="188" t="n"/>
      <c r="D28" s="188" t="n"/>
      <c r="E28" s="188" t="n"/>
      <c r="F28" s="188" t="n"/>
      <c r="G28" s="188" t="n"/>
      <c r="H28" s="188" t="n"/>
      <c r="I28" s="188" t="n"/>
      <c r="J28" s="188" t="n"/>
      <c r="K28" s="188" t="n"/>
      <c r="L28" s="188" t="n"/>
      <c r="M28" s="188" t="n"/>
      <c r="N28" s="188" t="n"/>
      <c r="O28" s="188" t="n"/>
      <c r="P28" s="188" t="n"/>
      <c r="Q28" s="188" t="n"/>
      <c r="R28" s="188" t="n"/>
      <c r="S28" s="188" t="n"/>
      <c r="T28" s="188" t="n"/>
      <c r="U28" s="188" t="n"/>
      <c r="V28" s="188" t="n"/>
      <c r="W28" s="188" t="n"/>
      <c r="X28" s="188" t="n"/>
      <c r="Y28" s="188" t="n"/>
      <c r="Z28" s="188" t="n"/>
      <c r="AA28" s="265" t="inlineStr">
        <is>
          <t>TOTAL</t>
        </is>
      </c>
      <c r="AB28" s="406" t="n"/>
      <c r="AC28" s="265">
        <f>SUM(AC16:AC25)</f>
        <v/>
      </c>
    </row>
    <row r="29" ht="61.2" customFormat="1" customHeight="1" s="1">
      <c r="A29" s="60" t="inlineStr">
        <is>
          <t xml:space="preserve">         SIGN:                                                                                                                                                                                                                                                          </t>
        </is>
      </c>
      <c r="B29" s="139" t="n"/>
      <c r="C29" s="139" t="n"/>
      <c r="D29" s="139" t="n"/>
      <c r="E29" s="139" t="n"/>
      <c r="F29" s="137" t="n"/>
      <c r="G29" s="136" t="n"/>
      <c r="H29" s="136" t="inlineStr">
        <is>
          <t xml:space="preserve"> SIGN:     </t>
        </is>
      </c>
      <c r="I29" s="139" t="n"/>
      <c r="J29" s="139" t="n"/>
      <c r="K29" s="139" t="n"/>
      <c r="L29" s="139" t="n"/>
      <c r="M29" s="139" t="n"/>
      <c r="N29" s="139" t="n"/>
      <c r="O29" s="139" t="n"/>
      <c r="P29" s="139" t="n"/>
      <c r="Q29" s="139" t="n"/>
      <c r="R29" s="139" t="n"/>
      <c r="S29" s="139" t="n"/>
      <c r="T29" s="139" t="n"/>
      <c r="U29" s="139" t="n"/>
      <c r="V29" s="139" t="n"/>
      <c r="W29" s="138" t="inlineStr">
        <is>
          <t>SIGN:</t>
        </is>
      </c>
      <c r="X29" s="136" t="n"/>
      <c r="Y29" s="136" t="n"/>
      <c r="Z29" s="136" t="n"/>
      <c r="AA29" s="135" t="n"/>
      <c r="AB29" s="136" t="inlineStr">
        <is>
          <t>   </t>
        </is>
      </c>
      <c r="AC29" s="64" t="n"/>
    </row>
    <row r="30" ht="61.2" customFormat="1" customHeight="1" s="1">
      <c r="A30" s="60" t="n"/>
      <c r="B30" s="139" t="n"/>
      <c r="C30" s="139" t="n"/>
      <c r="D30" s="139" t="n"/>
      <c r="E30" s="139" t="n"/>
      <c r="F30" s="137" t="n"/>
      <c r="G30" s="136" t="n"/>
      <c r="H30" s="136" t="inlineStr">
        <is>
          <t xml:space="preserve"> PROJECT-IN-CHARGE </t>
        </is>
      </c>
      <c r="I30" s="139" t="n"/>
      <c r="J30" s="139" t="n"/>
      <c r="K30" s="139" t="n"/>
      <c r="L30" s="139" t="n"/>
      <c r="M30" s="139" t="n"/>
      <c r="N30" s="139" t="n"/>
      <c r="O30" s="139" t="n"/>
      <c r="P30" s="139" t="n"/>
      <c r="Q30" s="139" t="n"/>
      <c r="R30" s="139" t="n"/>
      <c r="S30" s="139" t="n"/>
      <c r="T30" s="139" t="n"/>
      <c r="U30" s="139" t="n"/>
      <c r="V30" s="139" t="n"/>
      <c r="W30" s="138" t="inlineStr">
        <is>
          <t>DEPLOYMENT HEAD</t>
        </is>
      </c>
      <c r="X30" s="136" t="n"/>
      <c r="Y30" s="136" t="n"/>
      <c r="Z30" s="136" t="n"/>
      <c r="AA30" s="135" t="n"/>
      <c r="AB30" s="135" t="n"/>
      <c r="AC30" s="64" t="n"/>
    </row>
    <row r="31" ht="61.2" customFormat="1" customHeight="1" s="1">
      <c r="A31" s="60" t="inlineStr">
        <is>
          <t>                                                                                                                                                                                                                                                                                              </t>
        </is>
      </c>
      <c r="B31" s="139" t="n"/>
      <c r="C31" s="139" t="n"/>
      <c r="D31" s="139" t="n"/>
      <c r="E31" s="139" t="n"/>
      <c r="F31" s="135" t="n"/>
      <c r="G31" s="135" t="inlineStr">
        <is>
          <t xml:space="preserve"> MR. YUNUS KHAN</t>
        </is>
      </c>
      <c r="H31" s="135" t="n"/>
      <c r="I31" s="139" t="n"/>
      <c r="J31" s="139" t="n"/>
      <c r="K31" s="139" t="n"/>
      <c r="L31" s="139" t="n"/>
      <c r="M31" s="139" t="n"/>
      <c r="N31" s="139" t="n"/>
      <c r="O31" s="139" t="n"/>
      <c r="P31" s="139" t="n"/>
      <c r="Q31" s="139" t="n"/>
      <c r="R31" s="139" t="n"/>
      <c r="S31" s="139" t="n"/>
      <c r="T31" s="139" t="n"/>
      <c r="U31" s="139" t="n"/>
      <c r="V31" s="139" t="n"/>
      <c r="W31" s="138" t="inlineStr">
        <is>
          <t xml:space="preserve">MR. MANISH NAHAR </t>
        </is>
      </c>
      <c r="X31" s="136" t="n"/>
      <c r="Y31" s="136" t="n"/>
      <c r="Z31" s="136" t="n"/>
      <c r="AA31" s="135" t="n"/>
      <c r="AB31" s="135" t="n"/>
      <c r="AC31" s="64" t="n"/>
    </row>
    <row r="32" ht="96.59999999999999" customHeight="1" thickBot="1">
      <c r="A32" s="60" t="inlineStr">
        <is>
          <t xml:space="preserve">         DATE:                                                                                                                                                                                                                                                                                                                                      DATE:</t>
        </is>
      </c>
      <c r="B32" s="139" t="n"/>
      <c r="C32" s="139" t="n"/>
      <c r="D32" s="139" t="n"/>
      <c r="E32" s="139" t="n"/>
      <c r="F32" s="137" t="n"/>
      <c r="G32" s="136" t="n"/>
      <c r="H32" s="136" t="inlineStr">
        <is>
          <t xml:space="preserve">  DATE:  </t>
        </is>
      </c>
      <c r="I32" s="139" t="n"/>
      <c r="J32" s="139" t="n"/>
      <c r="K32" s="139" t="n"/>
      <c r="L32" s="139" t="n"/>
      <c r="M32" s="139" t="n"/>
      <c r="N32" s="139" t="n"/>
      <c r="O32" s="139" t="n"/>
      <c r="P32" s="139" t="n"/>
      <c r="Q32" s="139" t="n"/>
      <c r="R32" s="139" t="n"/>
      <c r="S32" s="139" t="n"/>
      <c r="T32" s="139" t="n"/>
      <c r="U32" s="139" t="n"/>
      <c r="V32" s="139" t="n"/>
      <c r="W32" s="138" t="inlineStr">
        <is>
          <t xml:space="preserve">DATE:  </t>
        </is>
      </c>
      <c r="X32" s="136" t="n"/>
      <c r="Y32" s="136" t="n"/>
      <c r="Z32" s="136" t="n"/>
      <c r="AA32" s="135" t="n"/>
      <c r="AB32" s="135" t="n"/>
      <c r="AC32" s="64" t="n"/>
    </row>
    <row r="33">
      <c r="A33" s="60" t="n"/>
      <c r="B33" s="139" t="n"/>
      <c r="C33" s="139" t="n"/>
      <c r="D33" s="139" t="n"/>
      <c r="E33" s="139" t="n"/>
      <c r="F33" s="136" t="n"/>
      <c r="G33" s="136" t="n"/>
      <c r="H33" s="139" t="n"/>
      <c r="I33" s="139" t="n"/>
      <c r="J33" s="139" t="n"/>
      <c r="K33" s="139" t="n"/>
      <c r="L33" s="139" t="n"/>
      <c r="M33" s="139" t="n"/>
      <c r="N33" s="139" t="n"/>
      <c r="O33" s="139" t="n"/>
      <c r="P33" s="139" t="n"/>
      <c r="Q33" s="139" t="n"/>
      <c r="R33" s="139" t="n"/>
      <c r="S33" s="139" t="n"/>
      <c r="T33" s="139" t="n"/>
      <c r="U33" s="139" t="n"/>
      <c r="V33" s="139" t="n"/>
      <c r="W33" s="139" t="n"/>
      <c r="X33" s="139" t="n"/>
      <c r="Y33" s="139" t="n"/>
      <c r="Z33" s="136" t="n"/>
      <c r="AA33" s="135" t="n"/>
      <c r="AB33" s="135" t="n"/>
      <c r="AC33" s="64" t="n"/>
    </row>
    <row r="34">
      <c r="A34" s="55" t="n"/>
      <c r="B34" s="56" t="n"/>
      <c r="C34" s="56" t="n"/>
      <c r="D34" s="83" t="n"/>
      <c r="E34" s="83" t="n"/>
      <c r="F34" s="83"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57" t="n"/>
      <c r="AB34" s="57" t="n"/>
      <c r="AC34" s="58" t="n"/>
    </row>
  </sheetData>
  <mergeCells count="7">
    <mergeCell ref="B13:C13"/>
    <mergeCell ref="H5:X5"/>
    <mergeCell ref="H4:X4"/>
    <mergeCell ref="A3:AC3"/>
    <mergeCell ref="B14:C14"/>
    <mergeCell ref="H6:X6"/>
    <mergeCell ref="AA26:AB26"/>
  </mergeCells>
  <pageMargins left="0.25" right="0.45" top="0.25" bottom="0.25" header="0.3" footer="0.3"/>
  <pageSetup orientation="landscape" paperSize="9" scale="19"/>
</worksheet>
</file>

<file path=xl/worksheets/sheet4.xml><?xml version="1.0" encoding="utf-8"?>
<worksheet xmlns="http://schemas.openxmlformats.org/spreadsheetml/2006/main">
  <sheetPr>
    <outlinePr summaryBelow="1" summaryRight="1"/>
    <pageSetUpPr fitToPage="1"/>
  </sheetPr>
  <dimension ref="A1:AC34"/>
  <sheetViews>
    <sheetView zoomScale="26" zoomScaleNormal="26" workbookViewId="0">
      <selection activeCell="D11" sqref="D11:Y11"/>
    </sheetView>
  </sheetViews>
  <sheetFormatPr baseColWidth="8" defaultColWidth="9.33203125" defaultRowHeight="58.5" customHeight="1"/>
  <cols>
    <col width="40.6640625" customWidth="1" style="143" min="1" max="1"/>
    <col width="177.109375" customWidth="1" style="3" min="2" max="2"/>
    <col width="23.33203125" customWidth="1" style="3" min="3" max="3"/>
    <col width="18.6640625" customWidth="1" style="84" min="4" max="25"/>
    <col width="18.109375" customWidth="1" style="84" min="26" max="26"/>
    <col width="26" customWidth="1" style="143" min="27" max="27"/>
    <col width="30" customWidth="1" style="143" min="28" max="28"/>
    <col width="38.109375" customWidth="1" style="143" min="29" max="29"/>
    <col width="9.33203125" customWidth="1" style="143" min="30" max="16384"/>
  </cols>
  <sheetData>
    <row r="1" ht="19.8" customHeight="1">
      <c r="A1" s="117" t="n"/>
      <c r="B1" s="118" t="n"/>
      <c r="C1" s="118"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c r="AA1" s="120" t="n"/>
      <c r="AB1" s="120" t="n"/>
      <c r="AC1" s="121" t="n"/>
    </row>
    <row r="2" ht="20.4" customHeight="1" thickBot="1">
      <c r="A2" s="122" t="n"/>
      <c r="B2" s="123" t="n"/>
      <c r="C2" s="123"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5" t="n"/>
      <c r="AB2" s="125" t="n"/>
      <c r="AC2" s="126" t="n"/>
    </row>
    <row r="3" ht="93" customFormat="1" customHeight="1" s="6" thickBot="1">
      <c r="A3" s="412" t="inlineStr">
        <is>
          <t>Abstract</t>
        </is>
      </c>
      <c r="B3" s="405" t="n"/>
      <c r="C3" s="405" t="n"/>
      <c r="D3" s="405" t="n"/>
      <c r="E3" s="405" t="n"/>
      <c r="F3" s="405" t="n"/>
      <c r="G3" s="405" t="n"/>
      <c r="H3" s="405" t="n"/>
      <c r="I3" s="405" t="n"/>
      <c r="J3" s="405" t="n"/>
      <c r="K3" s="405" t="n"/>
      <c r="L3" s="405" t="n"/>
      <c r="M3" s="405" t="n"/>
      <c r="N3" s="405" t="n"/>
      <c r="O3" s="405" t="n"/>
      <c r="P3" s="405" t="n"/>
      <c r="Q3" s="405" t="n"/>
      <c r="R3" s="405" t="n"/>
      <c r="S3" s="405" t="n"/>
      <c r="T3" s="405" t="n"/>
      <c r="U3" s="405" t="n"/>
      <c r="V3" s="405" t="n"/>
      <c r="W3" s="405" t="n"/>
      <c r="X3" s="405" t="n"/>
      <c r="Y3" s="405" t="n"/>
      <c r="Z3" s="405" t="n"/>
      <c r="AA3" s="405" t="n"/>
      <c r="AB3" s="405" t="n"/>
      <c r="AC3" s="406" t="n"/>
    </row>
    <row r="4" ht="58.5" customHeight="1">
      <c r="A4" s="45" t="n"/>
      <c r="B4" s="46" t="n"/>
      <c r="C4" s="46" t="n"/>
      <c r="D4" s="78" t="n"/>
      <c r="E4" s="78" t="n"/>
      <c r="F4" s="78" t="n"/>
      <c r="G4" s="78" t="n"/>
      <c r="H4" s="78" t="n"/>
      <c r="I4" s="78" t="n"/>
      <c r="J4" s="78" t="n"/>
      <c r="K4" s="78" t="n"/>
      <c r="L4" s="78" t="n"/>
      <c r="M4" s="78" t="n"/>
      <c r="N4" s="78" t="n"/>
      <c r="O4" s="78" t="n"/>
      <c r="P4" s="78" t="n"/>
      <c r="Q4" s="270" t="inlineStr">
        <is>
          <t xml:space="preserve">Work Order No :P14/630330726
</t>
        </is>
      </c>
      <c r="R4" s="400" t="n"/>
      <c r="S4" s="400" t="n"/>
      <c r="T4" s="400" t="n"/>
      <c r="U4" s="400" t="n"/>
      <c r="V4" s="400" t="n"/>
      <c r="W4" s="400" t="n"/>
      <c r="X4" s="400" t="n"/>
      <c r="Y4" s="203" t="n"/>
      <c r="Z4" s="133" t="n"/>
      <c r="AC4" s="59" t="n"/>
    </row>
    <row r="5" ht="46.2" customHeight="1">
      <c r="A5" s="65" t="inlineStr">
        <is>
          <t>Contractor Name: DIGITCOM INDIA TECHNOLOGIES</t>
        </is>
      </c>
      <c r="B5" s="144" t="n"/>
      <c r="C5" s="144" t="n"/>
      <c r="D5" s="145" t="n"/>
      <c r="E5" s="145" t="n"/>
      <c r="F5" s="145" t="n"/>
      <c r="G5" s="145" t="n"/>
      <c r="H5" s="145" t="n"/>
      <c r="I5" s="145" t="n"/>
      <c r="J5" s="145" t="n"/>
      <c r="K5" s="145" t="n"/>
      <c r="L5" s="145" t="n"/>
      <c r="M5" s="145" t="n"/>
      <c r="N5" s="145" t="n"/>
      <c r="O5" s="145" t="n"/>
      <c r="P5" s="145" t="n"/>
      <c r="Q5" s="272" t="inlineStr">
        <is>
          <t xml:space="preserve">          Work Order Dated: 03-10-2025</t>
        </is>
      </c>
      <c r="Y5" s="272" t="n"/>
      <c r="Z5" s="145" t="n"/>
      <c r="AC5" s="59" t="n"/>
    </row>
    <row r="6" ht="46.2" customHeight="1">
      <c r="A6" s="65" t="inlineStr">
        <is>
          <t>WO for Airspan A6 and C6 Radios for Airfiber</t>
        </is>
      </c>
      <c r="B6" s="144" t="n"/>
      <c r="C6" s="144" t="n"/>
      <c r="D6" s="145" t="n"/>
      <c r="E6" s="145" t="n"/>
      <c r="F6" s="145" t="n"/>
      <c r="G6" s="145" t="n"/>
      <c r="H6" s="145" t="n"/>
      <c r="I6" s="145" t="n"/>
      <c r="J6" s="145" t="n"/>
      <c r="K6" s="145" t="n"/>
      <c r="L6" s="145" t="n"/>
      <c r="M6" s="145" t="n"/>
      <c r="N6" s="145" t="n"/>
      <c r="O6" s="145" t="n"/>
      <c r="P6" s="145" t="n"/>
      <c r="Q6" s="272" t="n"/>
      <c r="Y6" s="272" t="n"/>
      <c r="Z6" s="145" t="n"/>
      <c r="AC6" s="59" t="n"/>
    </row>
    <row r="7" ht="46.2" customHeight="1">
      <c r="A7" s="66" t="n"/>
      <c r="B7" s="146" t="n"/>
      <c r="C7" s="146" t="n"/>
      <c r="D7" s="133" t="n"/>
      <c r="E7" s="133" t="n"/>
      <c r="F7" s="133" t="n"/>
      <c r="G7" s="133" t="n"/>
      <c r="H7" s="133" t="n"/>
      <c r="I7" s="133" t="n"/>
      <c r="J7" s="133" t="n"/>
      <c r="K7" s="133" t="n"/>
      <c r="L7" s="133" t="n"/>
      <c r="M7" s="133" t="n"/>
      <c r="N7" s="133" t="n"/>
      <c r="O7" s="133" t="n"/>
      <c r="P7" s="147" t="inlineStr">
        <is>
          <t xml:space="preserve">                        Service Done From Date: 30-01-26</t>
        </is>
      </c>
      <c r="Q7" s="147" t="n"/>
      <c r="R7" s="147" t="n"/>
      <c r="S7" s="147" t="n"/>
      <c r="T7" s="147" t="n"/>
      <c r="U7" s="147" t="n"/>
      <c r="V7" s="147" t="n"/>
      <c r="W7" s="147" t="n"/>
      <c r="X7" s="147" t="n"/>
      <c r="Y7" s="147" t="n"/>
      <c r="Z7" s="133" t="n"/>
      <c r="AC7" s="59" t="n"/>
    </row>
    <row r="8" ht="46.5" customHeight="1">
      <c r="A8" s="50" t="n"/>
      <c r="B8" s="148" t="n"/>
      <c r="C8" s="148" t="n"/>
      <c r="D8" s="133" t="n"/>
      <c r="E8" s="133" t="n"/>
      <c r="F8" s="133" t="n"/>
      <c r="G8" s="133" t="n"/>
      <c r="H8" s="133" t="n"/>
      <c r="I8" s="133" t="n"/>
      <c r="J8" s="133" t="n"/>
      <c r="K8" s="133" t="n"/>
      <c r="L8" s="133" t="n"/>
      <c r="M8" s="133" t="n"/>
      <c r="N8" s="133" t="n"/>
      <c r="O8" s="133" t="n"/>
      <c r="P8" s="147" t="inlineStr">
        <is>
          <t xml:space="preserve">                   Service Done To Date: 04-02-26</t>
        </is>
      </c>
      <c r="Q8" s="147" t="n"/>
      <c r="R8" s="147" t="n"/>
      <c r="S8" s="147" t="n"/>
      <c r="T8" s="147" t="n"/>
      <c r="U8" s="147" t="n"/>
      <c r="V8" s="147" t="n"/>
      <c r="W8" s="147" t="n"/>
      <c r="X8" s="147" t="n"/>
      <c r="Y8" s="147" t="n"/>
      <c r="Z8" s="133" t="n"/>
      <c r="AC8" s="59" t="n"/>
    </row>
    <row r="9" ht="28.5" customHeight="1">
      <c r="A9" s="50" t="n"/>
      <c r="B9" s="148" t="n"/>
      <c r="C9" s="148" t="n"/>
      <c r="D9" s="133" t="n"/>
      <c r="E9" s="133" t="n"/>
      <c r="F9" s="133" t="n"/>
      <c r="G9" s="133" t="n"/>
      <c r="H9" s="133" t="n"/>
      <c r="I9" s="133" t="n"/>
      <c r="J9" s="133" t="n"/>
      <c r="K9" s="133" t="n"/>
      <c r="L9" s="133" t="n"/>
      <c r="M9" s="133" t="n"/>
      <c r="N9" s="133" t="n"/>
      <c r="O9" s="133" t="n"/>
      <c r="P9" s="133" t="n"/>
      <c r="Q9" s="133" t="n"/>
      <c r="R9" s="133" t="n"/>
      <c r="S9" s="133" t="n"/>
      <c r="T9" s="133" t="n"/>
      <c r="U9" s="133" t="n"/>
      <c r="V9" s="133" t="n"/>
      <c r="W9" s="133" t="n"/>
      <c r="X9" s="133" t="n"/>
      <c r="Y9" s="133" t="n"/>
      <c r="Z9" s="133" t="n"/>
      <c r="AA9" s="148" t="n"/>
      <c r="AB9" s="148" t="n"/>
      <c r="AC9" s="48" t="n"/>
    </row>
    <row r="10" ht="21.75" customHeight="1" thickBot="1">
      <c r="A10" s="76" t="n"/>
      <c r="B10" s="149" t="n"/>
      <c r="C10" s="149" t="n"/>
      <c r="D10" s="150" t="n"/>
      <c r="E10" s="150" t="n"/>
      <c r="F10" s="150" t="n"/>
      <c r="G10" s="150" t="n"/>
      <c r="H10" s="150" t="n"/>
      <c r="I10" s="150" t="n"/>
      <c r="J10" s="150" t="n"/>
      <c r="K10" s="150" t="n"/>
      <c r="L10" s="150" t="n"/>
      <c r="M10" s="150" t="n"/>
      <c r="N10" s="150" t="n"/>
      <c r="O10" s="150" t="n"/>
      <c r="P10" s="150" t="n"/>
      <c r="Q10" s="150" t="n"/>
      <c r="R10" s="150" t="n"/>
      <c r="S10" s="150" t="n"/>
      <c r="T10" s="150" t="n"/>
      <c r="U10" s="150" t="n"/>
      <c r="V10" s="150" t="n"/>
      <c r="W10" s="150" t="n"/>
      <c r="X10" s="150" t="n"/>
      <c r="Y10" s="150" t="n"/>
      <c r="Z10" s="150" t="n"/>
      <c r="AA10" s="77" t="n"/>
      <c r="AB10" s="142" t="n"/>
      <c r="AC10" s="40" t="n"/>
    </row>
    <row r="11" ht="36" customFormat="1" customHeight="1" s="4" thickBot="1">
      <c r="A11" s="160" t="n"/>
      <c r="B11" s="161" t="inlineStr">
        <is>
          <t>Count -</t>
        </is>
      </c>
      <c r="C11" s="161" t="n"/>
      <c r="D11" s="266" t="n">
        <v>1</v>
      </c>
      <c r="E11" s="266" t="n">
        <v>2</v>
      </c>
      <c r="F11" s="266" t="n">
        <v>3</v>
      </c>
      <c r="G11" s="266" t="n">
        <v>4</v>
      </c>
      <c r="H11" s="266" t="n">
        <v>5</v>
      </c>
      <c r="I11" s="266" t="n">
        <v>6</v>
      </c>
      <c r="J11" s="266" t="n">
        <v>7</v>
      </c>
      <c r="K11" s="266" t="n">
        <v>8</v>
      </c>
      <c r="L11" s="266" t="n">
        <v>9</v>
      </c>
      <c r="M11" s="266" t="n">
        <v>10</v>
      </c>
      <c r="N11" s="266" t="n">
        <v>11</v>
      </c>
      <c r="O11" s="266" t="n">
        <v>12</v>
      </c>
      <c r="P11" s="266" t="n">
        <v>13</v>
      </c>
      <c r="Q11" s="266" t="n">
        <v>14</v>
      </c>
      <c r="R11" s="266" t="n">
        <v>15</v>
      </c>
      <c r="S11" s="266" t="n">
        <v>16</v>
      </c>
      <c r="T11" s="266" t="n">
        <v>17</v>
      </c>
      <c r="U11" s="266" t="n">
        <v>18</v>
      </c>
      <c r="V11" s="266" t="n">
        <v>19</v>
      </c>
      <c r="W11" s="266" t="n">
        <v>20</v>
      </c>
      <c r="X11" s="266" t="n">
        <v>21</v>
      </c>
      <c r="Y11" s="266" t="n">
        <v>22</v>
      </c>
      <c r="Z11" s="266" t="n"/>
      <c r="AA11" s="163" t="n"/>
      <c r="AB11" s="164" t="n"/>
      <c r="AC11" s="164" t="n"/>
    </row>
    <row r="12" ht="408.6" customHeight="1" thickBot="1">
      <c r="A12" s="165" t="inlineStr">
        <is>
          <t>Code</t>
        </is>
      </c>
      <c r="B12" s="165" t="inlineStr">
        <is>
          <t>Site ID --</t>
        </is>
      </c>
      <c r="C12" s="165" t="n"/>
      <c r="D12" s="221" t="inlineStr">
        <is>
          <t>I-RJ-MRTA-PMP-0053</t>
        </is>
      </c>
      <c r="E12" s="221" t="inlineStr">
        <is>
          <t>I-RJ-DENA-PMP-0006</t>
        </is>
      </c>
      <c r="F12" s="221" t="inlineStr">
        <is>
          <t>I-RJ-PASS-PMP-0007</t>
        </is>
      </c>
      <c r="G12" s="221" t="inlineStr">
        <is>
          <t>I-RJ-PASS-PMP-0008</t>
        </is>
      </c>
      <c r="H12" s="221" t="inlineStr">
        <is>
          <t>I-RJ-KESR-PMP-0018</t>
        </is>
      </c>
      <c r="I12" s="221" t="inlineStr">
        <is>
          <t>I-RJ-DDWN-PMP-0062</t>
        </is>
      </c>
      <c r="J12" s="221" t="inlineStr">
        <is>
          <t>I-RJ-MKRN-PMP-0030</t>
        </is>
      </c>
      <c r="K12" s="221" t="inlineStr">
        <is>
          <t>I-RJ-JAAW-PMP-0004</t>
        </is>
      </c>
      <c r="L12" s="221" t="inlineStr">
        <is>
          <t>I-RJ-JAAW-PMP-0005</t>
        </is>
      </c>
      <c r="M12" s="221" t="inlineStr">
        <is>
          <t>I-RJ-SNCE-PMP-0017</t>
        </is>
      </c>
      <c r="N12" s="221" t="inlineStr">
        <is>
          <t>I-RJ-BORA-PMP-0004</t>
        </is>
      </c>
      <c r="O12" s="221" t="inlineStr">
        <is>
          <t>I-RJ-BORA-PMP-0021</t>
        </is>
      </c>
      <c r="P12" s="221" t="inlineStr">
        <is>
          <t>I-RJ-BNML-PMP-0008</t>
        </is>
      </c>
      <c r="Q12" s="221" t="inlineStr">
        <is>
          <t>I-RJ-JLOR-PMP-0016</t>
        </is>
      </c>
      <c r="R12" s="221" t="inlineStr">
        <is>
          <t>I-RJ-BAGA-PMP-0001</t>
        </is>
      </c>
      <c r="S12" s="221" t="inlineStr">
        <is>
          <t>I-RJ-BNML-PMP-0003</t>
        </is>
      </c>
      <c r="T12" s="221" t="inlineStr">
        <is>
          <t>I-RJ-SNCE-PMP-0005</t>
        </is>
      </c>
      <c r="U12" s="221" t="inlineStr">
        <is>
          <t>I-RJ-SNCE-PMP-0013</t>
        </is>
      </c>
      <c r="V12" s="221" t="inlineStr">
        <is>
          <t>I-RJ-SNCE-PMP-0014</t>
        </is>
      </c>
      <c r="W12" s="221" t="inlineStr">
        <is>
          <t>I-RJ-KDRD-PMP-0001</t>
        </is>
      </c>
      <c r="X12" s="221" t="inlineStr">
        <is>
          <t>I-RJ-SNCE-PMP-0020</t>
        </is>
      </c>
      <c r="Y12" s="221" t="inlineStr">
        <is>
          <t>I-RJ-SNCE-PMP-0019</t>
        </is>
      </c>
      <c r="Z12" s="166" t="n"/>
      <c r="AA12" s="167" t="inlineStr">
        <is>
          <t>Total Quantity</t>
        </is>
      </c>
      <c r="AB12" s="168" t="inlineStr">
        <is>
          <t>RATE AS PER SOW</t>
        </is>
      </c>
      <c r="AC12" s="169" t="inlineStr">
        <is>
          <t>AMOUNT</t>
        </is>
      </c>
    </row>
    <row r="13" ht="116.4" customHeight="1" thickBot="1">
      <c r="A13" s="266" t="n"/>
      <c r="B13" s="266" t="inlineStr">
        <is>
          <t>Site Type</t>
        </is>
      </c>
      <c r="C13" s="406" t="n"/>
      <c r="D13" s="206" t="inlineStr">
        <is>
          <t>GBT</t>
        </is>
      </c>
      <c r="E13" s="206" t="inlineStr">
        <is>
          <t>GBT</t>
        </is>
      </c>
      <c r="F13" s="206" t="inlineStr">
        <is>
          <t>GBT</t>
        </is>
      </c>
      <c r="G13" s="206" t="inlineStr">
        <is>
          <t>GBT</t>
        </is>
      </c>
      <c r="H13" s="206" t="inlineStr">
        <is>
          <t>GBT</t>
        </is>
      </c>
      <c r="I13" s="206" t="inlineStr">
        <is>
          <t>GBT</t>
        </is>
      </c>
      <c r="J13" s="206" t="inlineStr">
        <is>
          <t>GBT</t>
        </is>
      </c>
      <c r="K13" s="206" t="inlineStr">
        <is>
          <t>GBT</t>
        </is>
      </c>
      <c r="L13" s="206" t="inlineStr">
        <is>
          <t>GBT</t>
        </is>
      </c>
      <c r="M13" s="206" t="inlineStr">
        <is>
          <t>GBT</t>
        </is>
      </c>
      <c r="N13" s="206" t="inlineStr">
        <is>
          <t>GBT</t>
        </is>
      </c>
      <c r="O13" s="206" t="inlineStr">
        <is>
          <t>GBT</t>
        </is>
      </c>
      <c r="P13" s="206" t="inlineStr">
        <is>
          <t>GBT</t>
        </is>
      </c>
      <c r="Q13" s="206" t="inlineStr">
        <is>
          <t>GBT</t>
        </is>
      </c>
      <c r="R13" s="206" t="inlineStr">
        <is>
          <t>GBT</t>
        </is>
      </c>
      <c r="S13" s="206" t="inlineStr">
        <is>
          <t>GBT</t>
        </is>
      </c>
      <c r="T13" s="206" t="inlineStr">
        <is>
          <t>GBT</t>
        </is>
      </c>
      <c r="U13" s="206" t="inlineStr">
        <is>
          <t>GBT</t>
        </is>
      </c>
      <c r="V13" s="206" t="inlineStr">
        <is>
          <t>GBT</t>
        </is>
      </c>
      <c r="W13" s="206" t="inlineStr">
        <is>
          <t>GBT</t>
        </is>
      </c>
      <c r="X13" s="206" t="inlineStr">
        <is>
          <t>GBT</t>
        </is>
      </c>
      <c r="Y13" s="206" t="inlineStr">
        <is>
          <t>GBT</t>
        </is>
      </c>
      <c r="Z13" s="170" t="n"/>
      <c r="AA13" s="171" t="n"/>
      <c r="AB13" s="172" t="n"/>
      <c r="AC13" s="173" t="n"/>
    </row>
    <row r="14" ht="85.95" customHeight="1" thickBot="1">
      <c r="A14" s="266" t="n"/>
      <c r="B14" s="266" t="inlineStr">
        <is>
          <t>Sectors</t>
        </is>
      </c>
      <c r="C14" s="406" t="n"/>
      <c r="D14" s="216" t="n">
        <v>1</v>
      </c>
      <c r="E14" s="216" t="n">
        <v>1</v>
      </c>
      <c r="F14" s="216" t="n">
        <v>1</v>
      </c>
      <c r="G14" s="216" t="n">
        <v>1</v>
      </c>
      <c r="H14" s="216" t="n">
        <v>1</v>
      </c>
      <c r="I14" s="216" t="n">
        <v>1</v>
      </c>
      <c r="J14" s="216" t="n">
        <v>1</v>
      </c>
      <c r="K14" s="216" t="n">
        <v>1</v>
      </c>
      <c r="L14" s="216" t="n">
        <v>2</v>
      </c>
      <c r="M14" s="216" t="n">
        <v>3</v>
      </c>
      <c r="N14" s="216" t="n">
        <v>1</v>
      </c>
      <c r="O14" s="216" t="n">
        <v>1</v>
      </c>
      <c r="P14" s="216" t="n">
        <v>1</v>
      </c>
      <c r="Q14" s="216" t="n">
        <v>1</v>
      </c>
      <c r="R14" s="216" t="n">
        <v>1</v>
      </c>
      <c r="S14" s="216" t="n">
        <v>1</v>
      </c>
      <c r="T14" s="216" t="n">
        <v>2</v>
      </c>
      <c r="U14" s="216" t="n">
        <v>1</v>
      </c>
      <c r="V14" s="216" t="n">
        <v>1</v>
      </c>
      <c r="W14" s="216" t="n">
        <v>1</v>
      </c>
      <c r="X14" s="216" t="n">
        <v>1</v>
      </c>
      <c r="Y14" s="216" t="n">
        <v>1</v>
      </c>
      <c r="Z14" s="172" t="n"/>
      <c r="AA14" s="171">
        <f>SUM(D14:Y14)</f>
        <v/>
      </c>
      <c r="AB14" s="172" t="n"/>
      <c r="AC14" s="266" t="n"/>
    </row>
    <row r="15" ht="104.25" customHeight="1" thickBot="1">
      <c r="A15" s="175" t="inlineStr">
        <is>
          <t>Item code</t>
        </is>
      </c>
      <c r="B15" s="176" t="inlineStr">
        <is>
          <t>Description of Item</t>
        </is>
      </c>
      <c r="C15" s="177" t="inlineStr">
        <is>
          <t>UOM</t>
        </is>
      </c>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9" t="n"/>
      <c r="AA15" s="180" t="n"/>
      <c r="AB15" s="180" t="n"/>
      <c r="AC15" s="181" t="n"/>
    </row>
    <row r="16" ht="64.2" customHeight="1" thickBot="1">
      <c r="A16" s="183" t="n">
        <v>3367489</v>
      </c>
      <c r="B16" s="182" t="inlineStr">
        <is>
          <t>CHRG BASE RADIO INST&amp;COMS AZIMUTH</t>
        </is>
      </c>
      <c r="C16" s="183" t="inlineStr">
        <is>
          <t>EA</t>
        </is>
      </c>
      <c r="D16" s="222" t="n">
        <v>1</v>
      </c>
      <c r="E16" s="222" t="n">
        <v>1</v>
      </c>
      <c r="F16" s="222" t="n">
        <v>1</v>
      </c>
      <c r="G16" s="222" t="n">
        <v>1</v>
      </c>
      <c r="H16" s="222" t="n">
        <v>1</v>
      </c>
      <c r="I16" s="222" t="n">
        <v>1</v>
      </c>
      <c r="J16" s="222" t="n">
        <v>1</v>
      </c>
      <c r="K16" s="222" t="n">
        <v>1</v>
      </c>
      <c r="L16" s="222" t="n">
        <v>2</v>
      </c>
      <c r="M16" s="222" t="n">
        <v>3</v>
      </c>
      <c r="N16" s="222" t="n">
        <v>1</v>
      </c>
      <c r="O16" s="222" t="n">
        <v>1</v>
      </c>
      <c r="P16" s="222" t="n">
        <v>1</v>
      </c>
      <c r="Q16" s="222" t="n">
        <v>1</v>
      </c>
      <c r="R16" s="222" t="n">
        <v>1</v>
      </c>
      <c r="S16" s="222" t="n">
        <v>1</v>
      </c>
      <c r="T16" s="222" t="n">
        <v>2</v>
      </c>
      <c r="U16" s="222" t="n">
        <v>1</v>
      </c>
      <c r="V16" s="222" t="n">
        <v>1</v>
      </c>
      <c r="W16" s="222" t="n">
        <v>1</v>
      </c>
      <c r="X16" s="222" t="n">
        <v>1</v>
      </c>
      <c r="Y16" s="222" t="n">
        <v>1</v>
      </c>
      <c r="Z16" s="184" t="n"/>
      <c r="AA16" s="171">
        <f>SUM(D16:Y16)</f>
        <v/>
      </c>
      <c r="AB16" s="171" t="n">
        <v>200</v>
      </c>
      <c r="AC16" s="185">
        <f>AA16*AB16</f>
        <v/>
      </c>
    </row>
    <row r="17" ht="64.2" customHeight="1" thickBot="1">
      <c r="A17" s="183" t="n">
        <v>3367548</v>
      </c>
      <c r="B17" s="182" t="inlineStr">
        <is>
          <t>CHRG LAYING-MULTIMODE FIBER CABLE</t>
        </is>
      </c>
      <c r="C17" s="183" t="inlineStr">
        <is>
          <t>M</t>
        </is>
      </c>
      <c r="D17" s="223" t="n">
        <v>5</v>
      </c>
      <c r="E17" s="223" t="n">
        <v>5</v>
      </c>
      <c r="F17" s="223" t="n">
        <v>5</v>
      </c>
      <c r="G17" s="223" t="n">
        <v>5</v>
      </c>
      <c r="H17" s="223" t="n">
        <v>5</v>
      </c>
      <c r="I17" s="223" t="n">
        <v>5</v>
      </c>
      <c r="J17" s="222" t="n">
        <v>50</v>
      </c>
      <c r="K17" s="223" t="n">
        <v>5</v>
      </c>
      <c r="L17" s="223" t="n">
        <v>10</v>
      </c>
      <c r="M17" s="223" t="n">
        <v>60</v>
      </c>
      <c r="N17" s="223" t="n">
        <v>5</v>
      </c>
      <c r="O17" s="223" t="n">
        <v>50</v>
      </c>
      <c r="P17" s="223" t="n">
        <v>5</v>
      </c>
      <c r="Q17" s="222" t="n">
        <v>5</v>
      </c>
      <c r="R17" s="223" t="n">
        <v>5</v>
      </c>
      <c r="S17" s="223" t="n">
        <v>5</v>
      </c>
      <c r="T17" s="223" t="n">
        <v>100</v>
      </c>
      <c r="U17" s="223" t="n">
        <v>5</v>
      </c>
      <c r="V17" s="223" t="n">
        <v>50</v>
      </c>
      <c r="W17" s="223" t="n">
        <v>5</v>
      </c>
      <c r="X17" s="223" t="n">
        <v>50</v>
      </c>
      <c r="Y17" s="223" t="n">
        <v>50</v>
      </c>
      <c r="Z17" s="184" t="n"/>
      <c r="AA17" s="171">
        <f>SUM(D17:Y17)</f>
        <v/>
      </c>
      <c r="AB17" s="171" t="n">
        <v>5</v>
      </c>
      <c r="AC17" s="185">
        <f>AA17*AB17</f>
        <v/>
      </c>
    </row>
    <row r="18" ht="64.2" customHeight="1" thickBot="1">
      <c r="A18" s="183" t="n">
        <v>3137158</v>
      </c>
      <c r="B18" s="182" t="inlineStr">
        <is>
          <t>LAYING-2CX2.5SQMM POWER CABLE</t>
        </is>
      </c>
      <c r="C18" s="183" t="inlineStr">
        <is>
          <t>M</t>
        </is>
      </c>
      <c r="D18" s="223" t="n">
        <v>50</v>
      </c>
      <c r="E18" s="223" t="n">
        <v>50</v>
      </c>
      <c r="F18" s="223" t="n">
        <v>50</v>
      </c>
      <c r="G18" s="223" t="n">
        <v>50</v>
      </c>
      <c r="H18" s="223" t="n">
        <v>50</v>
      </c>
      <c r="I18" s="223" t="n">
        <v>50</v>
      </c>
      <c r="J18" s="222" t="n">
        <v>50</v>
      </c>
      <c r="K18" s="223" t="n">
        <v>50</v>
      </c>
      <c r="L18" s="223" t="n">
        <v>100</v>
      </c>
      <c r="M18" s="223" t="n">
        <v>150</v>
      </c>
      <c r="N18" s="223" t="n">
        <v>50</v>
      </c>
      <c r="O18" s="223" t="n">
        <v>50</v>
      </c>
      <c r="P18" s="223" t="n">
        <v>50</v>
      </c>
      <c r="Q18" s="222" t="n">
        <v>50</v>
      </c>
      <c r="R18" s="223" t="n">
        <v>50</v>
      </c>
      <c r="S18" s="223" t="n">
        <v>50</v>
      </c>
      <c r="T18" s="223" t="n">
        <v>100</v>
      </c>
      <c r="U18" s="223" t="n">
        <v>50</v>
      </c>
      <c r="V18" s="223" t="n">
        <v>50</v>
      </c>
      <c r="W18" s="223" t="n">
        <v>50</v>
      </c>
      <c r="X18" s="223" t="n">
        <v>50</v>
      </c>
      <c r="Y18" s="223" t="n">
        <v>50</v>
      </c>
      <c r="Z18" s="184" t="n"/>
      <c r="AA18" s="171">
        <f>SUM(D18:Y18)</f>
        <v/>
      </c>
      <c r="AB18" s="171" t="n">
        <v>12</v>
      </c>
      <c r="AC18" s="185">
        <f>AA18*AB18</f>
        <v/>
      </c>
    </row>
    <row r="19" ht="133.2" customFormat="1" customHeight="1" s="90" thickBot="1">
      <c r="A19" s="183" t="n">
        <v>3397253</v>
      </c>
      <c r="B19" s="182" t="inlineStr">
        <is>
          <t>CHRG EXTRA TRANSPORT. &gt; 50 KM (PICKUP</t>
        </is>
      </c>
      <c r="C19" s="183" t="inlineStr">
        <is>
          <t>KM</t>
        </is>
      </c>
      <c r="D19" s="224" t="n">
        <v>14</v>
      </c>
      <c r="E19" s="224" t="n">
        <v>126</v>
      </c>
      <c r="F19" s="224" t="n">
        <v>35</v>
      </c>
      <c r="G19" s="224" t="n">
        <v>5</v>
      </c>
      <c r="H19" s="224" t="n">
        <v>62</v>
      </c>
      <c r="I19" s="224" t="n">
        <v>167</v>
      </c>
      <c r="J19" s="174" t="n">
        <v>30</v>
      </c>
      <c r="K19" s="224" t="n">
        <v>114</v>
      </c>
      <c r="L19" s="224" t="n">
        <v>8</v>
      </c>
      <c r="M19" s="224" t="n">
        <v>40</v>
      </c>
      <c r="N19" s="224" t="n">
        <v>168</v>
      </c>
      <c r="O19" s="224" t="n">
        <v>21</v>
      </c>
      <c r="P19" s="224" t="n">
        <v>20</v>
      </c>
      <c r="Q19" s="224" t="n">
        <v>71</v>
      </c>
      <c r="R19" s="224" t="n">
        <v>21</v>
      </c>
      <c r="S19" s="224" t="n">
        <v>55</v>
      </c>
      <c r="T19" s="224" t="n">
        <v>185</v>
      </c>
      <c r="U19" s="224" t="n">
        <v>18</v>
      </c>
      <c r="V19" s="224" t="n">
        <v>31</v>
      </c>
      <c r="W19" s="224" t="n">
        <v>184</v>
      </c>
      <c r="X19" s="224" t="n">
        <v>28</v>
      </c>
      <c r="Y19" s="224" t="n">
        <v>15</v>
      </c>
      <c r="Z19" s="184" t="n"/>
      <c r="AA19" s="171">
        <f>SUM(D19:Y19)</f>
        <v/>
      </c>
      <c r="AB19" s="171" t="n">
        <v>20</v>
      </c>
      <c r="AC19" s="185">
        <f>AA19*AB19</f>
        <v/>
      </c>
    </row>
    <row r="20" ht="64.2" customHeight="1" thickBot="1">
      <c r="A20" s="183" t="n">
        <v>3397271</v>
      </c>
      <c r="B20" s="182" t="inlineStr">
        <is>
          <t xml:space="preserve">CHRG TRANSPORT-UPTO 50KM-SCV-2-3SITE </t>
        </is>
      </c>
      <c r="C20" s="183" t="inlineStr">
        <is>
          <t>EA</t>
        </is>
      </c>
      <c r="D20" s="174" t="n">
        <v>1</v>
      </c>
      <c r="E20" s="174" t="n">
        <v>1</v>
      </c>
      <c r="F20" s="174" t="n">
        <v>1</v>
      </c>
      <c r="G20" s="174" t="n">
        <v>1</v>
      </c>
      <c r="H20" s="174" t="n">
        <v>1</v>
      </c>
      <c r="I20" s="174" t="n">
        <v>1</v>
      </c>
      <c r="J20" s="174" t="n">
        <v>1</v>
      </c>
      <c r="K20" s="174" t="n">
        <v>1</v>
      </c>
      <c r="L20" s="174" t="n">
        <v>1</v>
      </c>
      <c r="M20" s="174" t="n">
        <v>1</v>
      </c>
      <c r="N20" s="174" t="n">
        <v>1</v>
      </c>
      <c r="O20" s="174" t="n">
        <v>1</v>
      </c>
      <c r="P20" s="174" t="n">
        <v>1</v>
      </c>
      <c r="Q20" s="174" t="n">
        <v>1</v>
      </c>
      <c r="R20" s="174" t="n">
        <v>1</v>
      </c>
      <c r="S20" s="174" t="n">
        <v>1</v>
      </c>
      <c r="T20" s="174" t="n">
        <v>1</v>
      </c>
      <c r="U20" s="174" t="n">
        <v>1</v>
      </c>
      <c r="V20" s="174" t="n">
        <v>1</v>
      </c>
      <c r="W20" s="174" t="n">
        <v>1</v>
      </c>
      <c r="X20" s="174" t="n">
        <v>1</v>
      </c>
      <c r="Y20" s="174" t="n">
        <v>1</v>
      </c>
      <c r="Z20" s="184" t="n"/>
      <c r="AA20" s="171">
        <f>SUM(D20:Y20)</f>
        <v/>
      </c>
      <c r="AB20" s="171" t="n">
        <v>1500</v>
      </c>
      <c r="AC20" s="185">
        <f>AA20*AB20</f>
        <v/>
      </c>
    </row>
    <row r="21" ht="64.2" customHeight="1" thickBot="1">
      <c r="A21" s="183" t="n">
        <v>3367713</v>
      </c>
      <c r="B21" s="182" t="inlineStr">
        <is>
          <t>CHRG ATP-11C - WIFI A6 DEPLOYMENT</t>
        </is>
      </c>
      <c r="C21" s="183" t="inlineStr">
        <is>
          <t>EA</t>
        </is>
      </c>
      <c r="D21" s="174" t="n">
        <v>1</v>
      </c>
      <c r="E21" s="174" t="n">
        <v>1</v>
      </c>
      <c r="F21" s="174" t="n">
        <v>1</v>
      </c>
      <c r="G21" s="174" t="n">
        <v>1</v>
      </c>
      <c r="H21" s="174" t="n">
        <v>1</v>
      </c>
      <c r="I21" s="174" t="n">
        <v>1</v>
      </c>
      <c r="J21" s="174" t="n">
        <v>1</v>
      </c>
      <c r="K21" s="174" t="n">
        <v>1</v>
      </c>
      <c r="L21" s="174" t="n">
        <v>1</v>
      </c>
      <c r="M21" s="174" t="n">
        <v>1</v>
      </c>
      <c r="N21" s="174" t="n">
        <v>1</v>
      </c>
      <c r="O21" s="174" t="n">
        <v>1</v>
      </c>
      <c r="P21" s="174" t="n">
        <v>1</v>
      </c>
      <c r="Q21" s="174" t="n">
        <v>1</v>
      </c>
      <c r="R21" s="174" t="n">
        <v>1</v>
      </c>
      <c r="S21" s="174" t="n">
        <v>1</v>
      </c>
      <c r="T21" s="174" t="n">
        <v>1</v>
      </c>
      <c r="U21" s="174" t="n">
        <v>1</v>
      </c>
      <c r="V21" s="174" t="n">
        <v>1</v>
      </c>
      <c r="W21" s="174" t="n">
        <v>1</v>
      </c>
      <c r="X21" s="174" t="n">
        <v>1</v>
      </c>
      <c r="Y21" s="174" t="n">
        <v>1</v>
      </c>
      <c r="Z21" s="184" t="n"/>
      <c r="AA21" s="171">
        <f>SUM(D21:Y21)</f>
        <v/>
      </c>
      <c r="AB21" s="171" t="n">
        <v>700</v>
      </c>
      <c r="AC21" s="185">
        <f>AA21*AB21</f>
        <v/>
      </c>
    </row>
    <row r="22" ht="64.2" customHeight="1" thickBot="1">
      <c r="A22" s="183" t="n">
        <v>3367739</v>
      </c>
      <c r="B22" s="182" t="inlineStr">
        <is>
          <t>CHRG ATP-11A - WIFI A6 DEPLOYMENT</t>
        </is>
      </c>
      <c r="C22" s="183" t="inlineStr">
        <is>
          <t>EA</t>
        </is>
      </c>
      <c r="D22" s="174" t="n">
        <v>1</v>
      </c>
      <c r="E22" s="174" t="n">
        <v>1</v>
      </c>
      <c r="F22" s="174" t="n">
        <v>1</v>
      </c>
      <c r="G22" s="174" t="n">
        <v>1</v>
      </c>
      <c r="H22" s="174" t="n">
        <v>1</v>
      </c>
      <c r="I22" s="174" t="n">
        <v>1</v>
      </c>
      <c r="J22" s="174" t="n">
        <v>1</v>
      </c>
      <c r="K22" s="174" t="n">
        <v>1</v>
      </c>
      <c r="L22" s="174" t="n">
        <v>1</v>
      </c>
      <c r="M22" s="174" t="n">
        <v>1</v>
      </c>
      <c r="N22" s="174" t="n">
        <v>1</v>
      </c>
      <c r="O22" s="174" t="n">
        <v>1</v>
      </c>
      <c r="P22" s="174" t="n">
        <v>1</v>
      </c>
      <c r="Q22" s="174" t="n">
        <v>1</v>
      </c>
      <c r="R22" s="174" t="n">
        <v>1</v>
      </c>
      <c r="S22" s="174" t="n">
        <v>1</v>
      </c>
      <c r="T22" s="174" t="n">
        <v>1</v>
      </c>
      <c r="U22" s="174" t="n">
        <v>1</v>
      </c>
      <c r="V22" s="174" t="n">
        <v>1</v>
      </c>
      <c r="W22" s="174" t="n">
        <v>1</v>
      </c>
      <c r="X22" s="174" t="n">
        <v>1</v>
      </c>
      <c r="Y22" s="174" t="n">
        <v>1</v>
      </c>
      <c r="Z22" s="184" t="n"/>
      <c r="AA22" s="171">
        <f>SUM(D22:Y22)</f>
        <v/>
      </c>
      <c r="AB22" s="171" t="n">
        <v>700</v>
      </c>
      <c r="AC22" s="185">
        <f>AA22*AB22</f>
        <v/>
      </c>
    </row>
    <row r="23" ht="64.2" customHeight="1" thickBot="1">
      <c r="A23" s="183" t="n">
        <v>3317347</v>
      </c>
      <c r="B23" s="182" t="inlineStr">
        <is>
          <t>SITC 1CX6 SQMM CU CBL YY FRLSH</t>
        </is>
      </c>
      <c r="C23" s="183" t="inlineStr">
        <is>
          <t>M</t>
        </is>
      </c>
      <c r="D23" s="174">
        <f>D16*2</f>
        <v/>
      </c>
      <c r="E23" s="174">
        <f>E16*2</f>
        <v/>
      </c>
      <c r="F23" s="174">
        <f>F16*2</f>
        <v/>
      </c>
      <c r="G23" s="174">
        <f>G16*2</f>
        <v/>
      </c>
      <c r="H23" s="174">
        <f>H16*2</f>
        <v/>
      </c>
      <c r="I23" s="174">
        <f>I16*2</f>
        <v/>
      </c>
      <c r="J23" s="174">
        <f>J16*2</f>
        <v/>
      </c>
      <c r="K23" s="174">
        <f>K16*2</f>
        <v/>
      </c>
      <c r="L23" s="174">
        <f>L16*2</f>
        <v/>
      </c>
      <c r="M23" s="174">
        <f>M16*2</f>
        <v/>
      </c>
      <c r="N23" s="174">
        <f>N16*2</f>
        <v/>
      </c>
      <c r="O23" s="174">
        <f>O16*2</f>
        <v/>
      </c>
      <c r="P23" s="174">
        <f>P16*2</f>
        <v/>
      </c>
      <c r="Q23" s="174">
        <f>Q16*2</f>
        <v/>
      </c>
      <c r="R23" s="174">
        <f>R16*2</f>
        <v/>
      </c>
      <c r="S23" s="174">
        <f>S16*2</f>
        <v/>
      </c>
      <c r="T23" s="174">
        <f>T16*2</f>
        <v/>
      </c>
      <c r="U23" s="174">
        <f>U16*2</f>
        <v/>
      </c>
      <c r="V23" s="174">
        <f>V16*2</f>
        <v/>
      </c>
      <c r="W23" s="174">
        <f>W16*2</f>
        <v/>
      </c>
      <c r="X23" s="174">
        <f>X16*2</f>
        <v/>
      </c>
      <c r="Y23" s="174">
        <f>Y16*2</f>
        <v/>
      </c>
      <c r="Z23" s="184" t="n"/>
      <c r="AA23" s="171">
        <f>SUM(D23:Y23)</f>
        <v/>
      </c>
      <c r="AB23" s="171" t="n">
        <v>68</v>
      </c>
      <c r="AC23" s="185">
        <f>AA23*AB23</f>
        <v/>
      </c>
    </row>
    <row r="24" ht="64.2" customHeight="1" thickBot="1">
      <c r="A24" s="205" t="n">
        <v>3383067</v>
      </c>
      <c r="B24" s="186" t="inlineStr">
        <is>
          <t>CHRG APPLY PUFF SEALENT AT CABLE ENTRY</t>
        </is>
      </c>
      <c r="C24" s="183" t="inlineStr">
        <is>
          <t>EA</t>
        </is>
      </c>
      <c r="D24" s="174" t="n">
        <v>1</v>
      </c>
      <c r="E24" s="174" t="n">
        <v>0</v>
      </c>
      <c r="F24" s="174" t="n">
        <v>1</v>
      </c>
      <c r="G24" s="174" t="n">
        <v>0</v>
      </c>
      <c r="H24" s="174" t="n">
        <v>1</v>
      </c>
      <c r="I24" s="174" t="n">
        <v>1</v>
      </c>
      <c r="J24" s="174" t="n">
        <v>0</v>
      </c>
      <c r="K24" s="174" t="n">
        <v>1</v>
      </c>
      <c r="L24" s="174" t="n">
        <v>0</v>
      </c>
      <c r="M24" s="174" t="n">
        <v>1</v>
      </c>
      <c r="N24" s="174" t="n">
        <v>0</v>
      </c>
      <c r="O24" s="174" t="n">
        <v>1</v>
      </c>
      <c r="P24" s="174" t="n">
        <v>1</v>
      </c>
      <c r="Q24" s="174" t="n">
        <v>0</v>
      </c>
      <c r="R24" s="174" t="n">
        <v>1</v>
      </c>
      <c r="S24" s="174" t="n">
        <v>0</v>
      </c>
      <c r="T24" s="174" t="n">
        <v>1</v>
      </c>
      <c r="U24" s="174" t="n">
        <v>0</v>
      </c>
      <c r="V24" s="174" t="n">
        <v>1</v>
      </c>
      <c r="W24" s="174" t="n">
        <v>0</v>
      </c>
      <c r="X24" s="174" t="n">
        <v>1</v>
      </c>
      <c r="Y24" s="174" t="n">
        <v>0</v>
      </c>
      <c r="Z24" s="184" t="n"/>
      <c r="AA24" s="171">
        <f>SUM(D24:Y24)</f>
        <v/>
      </c>
      <c r="AB24" s="171" t="n">
        <v>330</v>
      </c>
      <c r="AC24" s="185">
        <f>AA24*AB24</f>
        <v/>
      </c>
    </row>
    <row r="25" ht="64.2" customHeight="1" thickBot="1">
      <c r="A25" s="183" t="n">
        <v>3269867</v>
      </c>
      <c r="B25" s="182" t="inlineStr">
        <is>
          <t>TERMINATION OF CABLE 1CX6 SQMM Y</t>
        </is>
      </c>
      <c r="C25" s="187" t="inlineStr">
        <is>
          <t>M</t>
        </is>
      </c>
      <c r="D25" s="174">
        <f>D16*2</f>
        <v/>
      </c>
      <c r="E25" s="174">
        <f>E16*2</f>
        <v/>
      </c>
      <c r="F25" s="174">
        <f>F16*2</f>
        <v/>
      </c>
      <c r="G25" s="174">
        <f>G16*2</f>
        <v/>
      </c>
      <c r="H25" s="174">
        <f>H16*2</f>
        <v/>
      </c>
      <c r="I25" s="174">
        <f>I16*2</f>
        <v/>
      </c>
      <c r="J25" s="174">
        <f>J16*2</f>
        <v/>
      </c>
      <c r="K25" s="174">
        <f>K16*2</f>
        <v/>
      </c>
      <c r="L25" s="174">
        <f>L16*2</f>
        <v/>
      </c>
      <c r="M25" s="174">
        <f>M16*2</f>
        <v/>
      </c>
      <c r="N25" s="174">
        <f>N16*2</f>
        <v/>
      </c>
      <c r="O25" s="174">
        <f>O16*2</f>
        <v/>
      </c>
      <c r="P25" s="174">
        <f>P16*2</f>
        <v/>
      </c>
      <c r="Q25" s="174">
        <f>Q16*2</f>
        <v/>
      </c>
      <c r="R25" s="174">
        <f>R16*2</f>
        <v/>
      </c>
      <c r="S25" s="174">
        <f>S16*2</f>
        <v/>
      </c>
      <c r="T25" s="174">
        <f>T16*2</f>
        <v/>
      </c>
      <c r="U25" s="174">
        <f>U16*2</f>
        <v/>
      </c>
      <c r="V25" s="174">
        <f>V16*2</f>
        <v/>
      </c>
      <c r="W25" s="174">
        <f>W16*2</f>
        <v/>
      </c>
      <c r="X25" s="174">
        <f>X16*2</f>
        <v/>
      </c>
      <c r="Y25" s="174">
        <f>Y16*2</f>
        <v/>
      </c>
      <c r="Z25" s="184" t="n"/>
      <c r="AA25" s="171">
        <f>SUM(D25:Y25)</f>
        <v/>
      </c>
      <c r="AB25" s="171" t="n">
        <v>40</v>
      </c>
      <c r="AC25" s="185">
        <f>AA25*AB25</f>
        <v/>
      </c>
    </row>
    <row r="26" ht="87" customHeight="1" thickBot="1">
      <c r="A26" s="188" t="n"/>
      <c r="B26" s="188" t="n"/>
      <c r="C26" s="188" t="n"/>
      <c r="D26" s="188" t="n"/>
      <c r="E26" s="188" t="n"/>
      <c r="F26" s="188" t="n"/>
      <c r="G26" s="188" t="n"/>
      <c r="H26" s="188" t="n"/>
      <c r="I26" s="188" t="n"/>
      <c r="J26" s="188" t="n"/>
      <c r="K26" s="188" t="n"/>
      <c r="L26" s="188" t="n"/>
      <c r="M26" s="188" t="n"/>
      <c r="N26" s="188" t="n"/>
      <c r="O26" s="188" t="n"/>
      <c r="P26" s="188" t="n"/>
      <c r="Q26" s="188" t="n"/>
      <c r="R26" s="188" t="n"/>
      <c r="S26" s="188" t="n"/>
      <c r="T26" s="188" t="n"/>
      <c r="U26" s="188" t="n"/>
      <c r="V26" s="188" t="n"/>
      <c r="W26" s="188" t="n"/>
      <c r="X26" s="188" t="n"/>
      <c r="Y26" s="188" t="n"/>
      <c r="Z26" s="188" t="n"/>
      <c r="AA26" s="265" t="inlineStr">
        <is>
          <t>TOTAL</t>
        </is>
      </c>
      <c r="AB26" s="406" t="n"/>
      <c r="AC26" s="265">
        <f>SUM(AC16:AC25)</f>
        <v/>
      </c>
    </row>
    <row r="27" ht="20.25" customHeight="1">
      <c r="A27" s="51" t="n"/>
      <c r="B27" s="52" t="n"/>
      <c r="C27" s="52" t="n"/>
      <c r="D27" s="139" t="n"/>
      <c r="E27" s="139" t="n"/>
      <c r="F27" s="139" t="n"/>
      <c r="G27" s="139" t="n"/>
      <c r="H27" s="139" t="n"/>
      <c r="I27" s="139" t="n"/>
      <c r="J27" s="139" t="n"/>
      <c r="K27" s="139" t="n"/>
      <c r="L27" s="139" t="n"/>
      <c r="M27" s="139" t="n"/>
      <c r="N27" s="139" t="n"/>
      <c r="O27" s="139" t="n"/>
      <c r="P27" s="139" t="n"/>
      <c r="Q27" s="139" t="n"/>
      <c r="R27" s="139" t="n"/>
      <c r="S27" s="139" t="n"/>
      <c r="T27" s="139" t="n"/>
      <c r="U27" s="139" t="n"/>
      <c r="V27" s="139" t="n"/>
      <c r="W27" s="139" t="n"/>
      <c r="X27" s="139" t="n"/>
      <c r="Y27" s="139" t="n"/>
      <c r="Z27" s="139" t="n"/>
      <c r="AA27" s="53" t="n"/>
      <c r="AB27" s="53" t="n"/>
      <c r="AC27" s="54" t="n"/>
    </row>
    <row r="28" ht="61.2" customFormat="1" customHeight="1" s="1">
      <c r="A28" s="60" t="inlineStr">
        <is>
          <t xml:space="preserve">         SIGN:                                                                                                                                                                                                                                                          </t>
        </is>
      </c>
      <c r="B28" s="135" t="n"/>
      <c r="C28" s="136" t="inlineStr">
        <is>
          <t xml:space="preserve"> SIGN:     </t>
        </is>
      </c>
      <c r="E28" s="136" t="n"/>
      <c r="F28" s="136" t="n"/>
      <c r="G28" s="136" t="n"/>
      <c r="H28" s="136" t="n"/>
      <c r="I28" s="136" t="n"/>
      <c r="J28" s="136" t="n"/>
      <c r="K28" s="137" t="n"/>
      <c r="L28" s="137" t="n"/>
      <c r="M28" s="137" t="n"/>
      <c r="N28" s="137" t="n"/>
      <c r="O28" s="137" t="n"/>
      <c r="P28" s="136" t="n"/>
      <c r="Q28" s="138" t="inlineStr">
        <is>
          <t>SIGN:</t>
        </is>
      </c>
      <c r="R28" s="136" t="n"/>
      <c r="S28" s="136" t="n"/>
      <c r="T28" s="136" t="n"/>
      <c r="U28" s="136" t="n"/>
      <c r="V28" s="136" t="n"/>
      <c r="W28" s="136" t="n"/>
      <c r="X28" s="136" t="n"/>
      <c r="Y28" s="136" t="n"/>
      <c r="Z28" s="136" t="n"/>
      <c r="AA28" s="135" t="n"/>
      <c r="AB28" s="136" t="inlineStr">
        <is>
          <t>   </t>
        </is>
      </c>
      <c r="AC28" s="64" t="n"/>
    </row>
    <row r="29" ht="61.2" customFormat="1" customHeight="1" s="1">
      <c r="A29" s="60" t="n"/>
      <c r="B29" s="135" t="n"/>
      <c r="C29" s="136" t="inlineStr">
        <is>
          <t xml:space="preserve"> PROJECT-IN-CHARGE </t>
        </is>
      </c>
      <c r="E29" s="136" t="n"/>
      <c r="F29" s="136" t="n"/>
      <c r="G29" s="136" t="n"/>
      <c r="H29" s="136" t="n"/>
      <c r="I29" s="136" t="n"/>
      <c r="J29" s="136" t="n"/>
      <c r="K29" s="137" t="n"/>
      <c r="L29" s="137" t="n"/>
      <c r="M29" s="137" t="n"/>
      <c r="N29" s="137" t="n"/>
      <c r="O29" s="137" t="n"/>
      <c r="P29" s="136" t="n"/>
      <c r="Q29" s="138" t="inlineStr">
        <is>
          <t>DEPLOYMENT HEAD</t>
        </is>
      </c>
      <c r="R29" s="136" t="n"/>
      <c r="S29" s="136" t="n"/>
      <c r="T29" s="136" t="n"/>
      <c r="U29" s="136" t="n"/>
      <c r="V29" s="136" t="n"/>
      <c r="W29" s="136" t="n"/>
      <c r="X29" s="136" t="n"/>
      <c r="Y29" s="136" t="n"/>
      <c r="Z29" s="136" t="n"/>
      <c r="AA29" s="135" t="n"/>
      <c r="AB29" s="135" t="n"/>
      <c r="AC29" s="64" t="n"/>
    </row>
    <row r="30" ht="61.2" customFormat="1" customHeight="1" s="1">
      <c r="A30" s="60" t="inlineStr">
        <is>
          <t>                                                                                                                                                                                                                                                                                              </t>
        </is>
      </c>
      <c r="B30" s="135" t="inlineStr">
        <is>
          <t xml:space="preserve">                                                                     MR. YUNUS KHAN</t>
        </is>
      </c>
      <c r="C30" s="137" t="n"/>
      <c r="E30" s="137" t="n"/>
      <c r="F30" s="137" t="n"/>
      <c r="G30" s="137" t="n"/>
      <c r="H30" s="137" t="n"/>
      <c r="I30" s="137" t="n"/>
      <c r="J30" s="137" t="n"/>
      <c r="K30" s="136" t="n"/>
      <c r="L30" s="136" t="n"/>
      <c r="M30" s="136" t="n"/>
      <c r="N30" s="136" t="n"/>
      <c r="O30" s="136" t="n"/>
      <c r="P30" s="136" t="n"/>
      <c r="Q30" s="138" t="inlineStr">
        <is>
          <t xml:space="preserve">MR. MANISH NAHAR </t>
        </is>
      </c>
      <c r="R30" s="136" t="n"/>
      <c r="S30" s="136" t="n"/>
      <c r="T30" s="136" t="n"/>
      <c r="U30" s="136" t="n"/>
      <c r="V30" s="136" t="n"/>
      <c r="W30" s="136" t="n"/>
      <c r="X30" s="136" t="n"/>
      <c r="Y30" s="136" t="n"/>
      <c r="Z30" s="136" t="n"/>
      <c r="AA30" s="135" t="n"/>
      <c r="AB30" s="135" t="n"/>
      <c r="AC30" s="64" t="n"/>
    </row>
    <row r="31" ht="61.2" customFormat="1" customHeight="1" s="1">
      <c r="A31" s="60" t="inlineStr">
        <is>
          <t xml:space="preserve">         DATE:                                                                                                                                                                                                                                                                                                                                      DATE:</t>
        </is>
      </c>
      <c r="B31" s="135" t="n"/>
      <c r="C31" s="136" t="inlineStr">
        <is>
          <t xml:space="preserve">  DATE:  </t>
        </is>
      </c>
      <c r="E31" s="136" t="n"/>
      <c r="F31" s="136" t="n"/>
      <c r="G31" s="136" t="n"/>
      <c r="H31" s="136" t="n"/>
      <c r="I31" s="136" t="n"/>
      <c r="J31" s="136" t="n"/>
      <c r="K31" s="137" t="n"/>
      <c r="L31" s="137" t="n"/>
      <c r="M31" s="137" t="n"/>
      <c r="N31" s="137" t="n"/>
      <c r="O31" s="137" t="n"/>
      <c r="P31" s="136" t="n"/>
      <c r="Q31" s="138" t="inlineStr">
        <is>
          <t xml:space="preserve">DATE:  </t>
        </is>
      </c>
      <c r="R31" s="136" t="n"/>
      <c r="S31" s="136" t="n"/>
      <c r="T31" s="136" t="n"/>
      <c r="U31" s="136" t="n"/>
      <c r="V31" s="136" t="n"/>
      <c r="W31" s="136" t="n"/>
      <c r="X31" s="136" t="n"/>
      <c r="Y31" s="136" t="n"/>
      <c r="Z31" s="136" t="n"/>
      <c r="AA31" s="135" t="n"/>
      <c r="AB31" s="135" t="n"/>
      <c r="AC31" s="64" t="n"/>
    </row>
    <row r="32" ht="61.2" customFormat="1" customHeight="1" s="1">
      <c r="A32" s="60" t="n"/>
      <c r="B32" s="135" t="n"/>
      <c r="C32" s="135" t="n"/>
      <c r="D32" s="136" t="n"/>
      <c r="E32" s="136" t="n"/>
      <c r="F32" s="136" t="n"/>
      <c r="G32" s="136" t="n"/>
      <c r="H32" s="136" t="n"/>
      <c r="I32" s="136" t="n"/>
      <c r="J32" s="136" t="n"/>
      <c r="K32" s="136" t="n"/>
      <c r="L32" s="136" t="n"/>
      <c r="M32" s="136" t="n"/>
      <c r="N32" s="136" t="n"/>
      <c r="O32" s="136" t="n"/>
      <c r="P32" s="136" t="n"/>
      <c r="Q32" s="136" t="n"/>
      <c r="R32" s="136" t="n"/>
      <c r="S32" s="136" t="n"/>
      <c r="T32" s="136" t="n"/>
      <c r="U32" s="136" t="n"/>
      <c r="V32" s="136" t="n"/>
      <c r="W32" s="136" t="n"/>
      <c r="X32" s="136" t="n"/>
      <c r="Y32" s="136" t="n"/>
      <c r="Z32" s="136" t="n"/>
      <c r="AA32" s="135" t="n"/>
      <c r="AB32" s="135" t="n"/>
      <c r="AC32" s="64" t="n"/>
    </row>
    <row r="33" ht="31.2" customHeight="1">
      <c r="A33" s="51" t="n"/>
      <c r="B33" s="52" t="n"/>
      <c r="C33" s="52" t="n"/>
      <c r="D33" s="139" t="n"/>
      <c r="E33" s="139" t="n"/>
      <c r="F33" s="139" t="n"/>
      <c r="G33" s="139" t="n"/>
      <c r="H33" s="139" t="n"/>
      <c r="I33" s="139" t="n"/>
      <c r="J33" s="139" t="n"/>
      <c r="K33" s="139" t="n"/>
      <c r="L33" s="139" t="n"/>
      <c r="M33" s="139" t="n"/>
      <c r="N33" s="139" t="n"/>
      <c r="O33" s="139" t="n"/>
      <c r="P33" s="139" t="n"/>
      <c r="Q33" s="139" t="n"/>
      <c r="R33" s="139" t="n"/>
      <c r="S33" s="139" t="n"/>
      <c r="T33" s="139" t="n"/>
      <c r="U33" s="139" t="n"/>
      <c r="V33" s="139" t="n"/>
      <c r="W33" s="139" t="n"/>
      <c r="X33" s="139" t="n"/>
      <c r="Y33" s="139" t="n"/>
      <c r="Z33" s="139" t="n"/>
      <c r="AA33" s="53" t="n"/>
      <c r="AB33" s="53" t="n"/>
      <c r="AC33" s="54" t="n"/>
    </row>
    <row r="34" ht="31.8" customHeight="1" thickBot="1">
      <c r="A34" s="55" t="n"/>
      <c r="B34" s="56" t="n"/>
      <c r="C34" s="56" t="n"/>
      <c r="D34" s="83" t="n"/>
      <c r="E34" s="83" t="n"/>
      <c r="F34" s="83"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57" t="n"/>
      <c r="AB34" s="57" t="n"/>
      <c r="AC34" s="58" t="n"/>
    </row>
  </sheetData>
  <mergeCells count="7">
    <mergeCell ref="B13:C13"/>
    <mergeCell ref="Q4:X4"/>
    <mergeCell ref="Q6:X6"/>
    <mergeCell ref="A3:AC3"/>
    <mergeCell ref="B14:C14"/>
    <mergeCell ref="Q5:X5"/>
    <mergeCell ref="AA26:AB26"/>
  </mergeCells>
  <pageMargins left="0.2" right="0.45" top="0.25" bottom="0.25" header="0.3" footer="0.3"/>
  <pageSetup orientation="landscape" paperSize="9" scale="18"/>
</worksheet>
</file>

<file path=xl/worksheets/sheet5.xml><?xml version="1.0" encoding="utf-8"?>
<worksheet xmlns="http://schemas.openxmlformats.org/spreadsheetml/2006/main">
  <sheetPr>
    <outlinePr summaryBelow="1" summaryRight="1"/>
    <pageSetUpPr fitToPage="1"/>
  </sheetPr>
  <dimension ref="A1:AC33"/>
  <sheetViews>
    <sheetView zoomScale="26" zoomScaleNormal="26" workbookViewId="0">
      <selection activeCell="D11" sqref="D11:Y11"/>
    </sheetView>
  </sheetViews>
  <sheetFormatPr baseColWidth="8" defaultColWidth="9.33203125" defaultRowHeight="58.5" customHeight="1"/>
  <cols>
    <col width="40.6640625" customWidth="1" style="143" min="1" max="1"/>
    <col width="153.6640625" customWidth="1" style="3" min="2" max="2"/>
    <col width="24.88671875" customWidth="1" style="3" min="3" max="3"/>
    <col width="19.5546875" customWidth="1" style="84" min="4" max="25"/>
    <col width="19" customWidth="1" style="84" min="26" max="26"/>
    <col width="34.6640625" customWidth="1" style="143" min="27" max="27"/>
    <col width="34.109375" customWidth="1" style="143" min="28" max="29"/>
    <col width="9.33203125" customWidth="1" style="143" min="30" max="30"/>
    <col width="9.33203125" customWidth="1" style="143" min="31" max="16384"/>
  </cols>
  <sheetData>
    <row r="1" ht="19.8" customHeight="1">
      <c r="A1" s="117" t="n"/>
      <c r="B1" s="118" t="n"/>
      <c r="C1" s="118"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c r="AA1" s="120" t="n"/>
      <c r="AB1" s="120" t="n"/>
      <c r="AC1" s="121" t="n"/>
    </row>
    <row r="2" ht="85.2" customHeight="1" thickBot="1">
      <c r="A2" s="122" t="n"/>
      <c r="B2" s="123" t="n"/>
      <c r="C2" s="123"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5" t="n"/>
      <c r="AB2" s="125" t="n"/>
      <c r="AC2" s="126" t="n"/>
    </row>
    <row r="3" ht="134.4" customFormat="1" customHeight="1" s="6" thickBot="1">
      <c r="A3" s="412" t="inlineStr">
        <is>
          <t>BOQ</t>
        </is>
      </c>
      <c r="B3" s="405" t="n"/>
      <c r="C3" s="405" t="n"/>
      <c r="D3" s="405" t="n"/>
      <c r="E3" s="405" t="n"/>
      <c r="F3" s="405" t="n"/>
      <c r="G3" s="405" t="n"/>
      <c r="H3" s="405" t="n"/>
      <c r="I3" s="405" t="n"/>
      <c r="J3" s="405" t="n"/>
      <c r="K3" s="405" t="n"/>
      <c r="L3" s="405" t="n"/>
      <c r="M3" s="405" t="n"/>
      <c r="N3" s="405" t="n"/>
      <c r="O3" s="405" t="n"/>
      <c r="P3" s="405" t="n"/>
      <c r="Q3" s="405" t="n"/>
      <c r="R3" s="405" t="n"/>
      <c r="S3" s="405" t="n"/>
      <c r="T3" s="405" t="n"/>
      <c r="U3" s="405" t="n"/>
      <c r="V3" s="405" t="n"/>
      <c r="W3" s="405" t="n"/>
      <c r="X3" s="405" t="n"/>
      <c r="Y3" s="405" t="n"/>
      <c r="Z3" s="405" t="n"/>
      <c r="AA3" s="405" t="n"/>
      <c r="AB3" s="405" t="n"/>
      <c r="AC3" s="406" t="n"/>
    </row>
    <row r="4" ht="58.5" customHeight="1">
      <c r="A4" s="45" t="n"/>
      <c r="B4" s="46" t="n"/>
      <c r="C4" s="46" t="n"/>
      <c r="D4" s="78" t="n"/>
      <c r="E4" s="78" t="n"/>
      <c r="F4" s="78" t="n"/>
      <c r="G4" s="78" t="n"/>
      <c r="H4" s="78" t="n"/>
      <c r="I4" s="78" t="n"/>
      <c r="J4" s="78" t="n"/>
      <c r="K4" s="78" t="n"/>
      <c r="L4" s="78" t="n"/>
      <c r="M4" s="78" t="n"/>
      <c r="N4" s="78" t="n"/>
      <c r="O4" s="78" t="n"/>
      <c r="P4" s="78" t="n"/>
      <c r="Q4" s="78" t="n"/>
      <c r="R4" s="78" t="n"/>
      <c r="S4" s="270" t="inlineStr">
        <is>
          <t xml:space="preserve">Work Order No :P14/630330726
</t>
        </is>
      </c>
      <c r="T4" s="400" t="n"/>
      <c r="U4" s="400" t="n"/>
      <c r="V4" s="400" t="n"/>
      <c r="W4" s="400" t="n"/>
      <c r="X4" s="400" t="n"/>
      <c r="Y4" s="203" t="n"/>
      <c r="Z4" s="133" t="n"/>
      <c r="AA4" s="143" t="n"/>
      <c r="AB4" s="143" t="n"/>
      <c r="AC4" s="59" t="n"/>
    </row>
    <row r="5" ht="46.2" customHeight="1">
      <c r="A5" s="65" t="inlineStr">
        <is>
          <t>Contractor Name: DIGITCOM INDIA TECHNOLOGIES</t>
        </is>
      </c>
      <c r="B5" s="144" t="n"/>
      <c r="C5" s="144" t="n"/>
      <c r="D5" s="145" t="n"/>
      <c r="E5" s="145" t="n"/>
      <c r="F5" s="145" t="n"/>
      <c r="G5" s="145" t="n"/>
      <c r="H5" s="145" t="n"/>
      <c r="I5" s="145" t="n"/>
      <c r="J5" s="145" t="n"/>
      <c r="K5" s="145" t="n"/>
      <c r="L5" s="145" t="n"/>
      <c r="M5" s="145" t="n"/>
      <c r="N5" s="145" t="n"/>
      <c r="O5" s="145" t="n"/>
      <c r="P5" s="145" t="n"/>
      <c r="Q5" s="145" t="n"/>
      <c r="R5" s="145" t="n"/>
      <c r="S5" s="272" t="inlineStr">
        <is>
          <t xml:space="preserve">   Work Order Dated:  03-10-2025</t>
        </is>
      </c>
      <c r="Y5" s="272" t="n"/>
      <c r="Z5" s="145" t="n"/>
      <c r="AA5" s="143" t="n"/>
      <c r="AB5" s="143" t="n"/>
      <c r="AC5" s="59" t="n"/>
    </row>
    <row r="6" ht="46.2" customHeight="1">
      <c r="A6" s="65" t="inlineStr">
        <is>
          <t>WO for Airspan A6 and C6 Radios for Airfiber</t>
        </is>
      </c>
      <c r="B6" s="144" t="n"/>
      <c r="C6" s="144" t="n"/>
      <c r="D6" s="145" t="n"/>
      <c r="E6" s="145" t="n"/>
      <c r="F6" s="145" t="n"/>
      <c r="G6" s="145" t="n"/>
      <c r="H6" s="145" t="n"/>
      <c r="I6" s="145" t="n"/>
      <c r="J6" s="145" t="n"/>
      <c r="K6" s="145" t="n"/>
      <c r="L6" s="145" t="n"/>
      <c r="M6" s="145" t="n"/>
      <c r="N6" s="145" t="n"/>
      <c r="O6" s="145" t="n"/>
      <c r="P6" s="145" t="n"/>
      <c r="Q6" s="145" t="n"/>
      <c r="R6" s="145" t="n"/>
      <c r="S6" s="272" t="n"/>
      <c r="Y6" s="272" t="n"/>
      <c r="Z6" s="145" t="n"/>
      <c r="AA6" s="143" t="n"/>
      <c r="AB6" s="143" t="n"/>
      <c r="AC6" s="59" t="n"/>
    </row>
    <row r="7" ht="46.2" customHeight="1">
      <c r="A7" s="66" t="n"/>
      <c r="B7" s="146" t="n"/>
      <c r="C7" s="146" t="n"/>
      <c r="D7" s="133" t="n"/>
      <c r="E7" s="133" t="n"/>
      <c r="F7" s="133" t="n"/>
      <c r="G7" s="133" t="n"/>
      <c r="H7" s="133" t="n"/>
      <c r="I7" s="133" t="n"/>
      <c r="J7" s="133" t="n"/>
      <c r="K7" s="133" t="n"/>
      <c r="L7" s="133" t="n"/>
      <c r="M7" s="133" t="n"/>
      <c r="N7" s="133" t="n"/>
      <c r="O7" s="133" t="n"/>
      <c r="P7" s="133" t="n"/>
      <c r="Q7" s="133" t="n"/>
      <c r="R7" s="147" t="inlineStr">
        <is>
          <t xml:space="preserve">                        Service Done From Date: 30-01-26</t>
        </is>
      </c>
      <c r="S7" s="147" t="n"/>
      <c r="T7" s="147" t="n"/>
      <c r="U7" s="147" t="n"/>
      <c r="V7" s="147" t="n"/>
      <c r="W7" s="147" t="n"/>
      <c r="X7" s="147" t="n"/>
      <c r="Y7" s="147" t="n"/>
      <c r="Z7" s="133" t="n"/>
      <c r="AA7" s="143" t="n"/>
      <c r="AB7" s="143" t="n"/>
      <c r="AC7" s="59" t="n"/>
    </row>
    <row r="8" ht="46.5" customHeight="1">
      <c r="A8" s="50" t="n"/>
      <c r="B8" s="148" t="n"/>
      <c r="C8" s="148" t="n"/>
      <c r="D8" s="133" t="n"/>
      <c r="E8" s="133" t="n"/>
      <c r="F8" s="133" t="n"/>
      <c r="G8" s="133" t="n"/>
      <c r="H8" s="133" t="n"/>
      <c r="I8" s="133" t="n"/>
      <c r="J8" s="133" t="n"/>
      <c r="K8" s="133" t="n"/>
      <c r="L8" s="133" t="n"/>
      <c r="M8" s="133" t="n"/>
      <c r="N8" s="133" t="n"/>
      <c r="O8" s="133" t="n"/>
      <c r="P8" s="133" t="n"/>
      <c r="Q8" s="133" t="n"/>
      <c r="R8" s="147" t="inlineStr">
        <is>
          <t xml:space="preserve">                   Service Done To Date: 04-02-26</t>
        </is>
      </c>
      <c r="S8" s="147" t="n"/>
      <c r="T8" s="147" t="n"/>
      <c r="U8" s="147" t="n"/>
      <c r="V8" s="147" t="n"/>
      <c r="W8" s="147" t="n"/>
      <c r="X8" s="147" t="n"/>
      <c r="Y8" s="147" t="n"/>
      <c r="Z8" s="133" t="n"/>
      <c r="AA8" s="143" t="n"/>
      <c r="AB8" s="143" t="n"/>
      <c r="AC8" s="59" t="n"/>
    </row>
    <row r="9" ht="28.5" customHeight="1">
      <c r="A9" s="50" t="n"/>
      <c r="B9" s="148" t="n"/>
      <c r="C9" s="148" t="n"/>
      <c r="D9" s="133" t="n"/>
      <c r="E9" s="133" t="n"/>
      <c r="F9" s="133" t="n"/>
      <c r="G9" s="133" t="n"/>
      <c r="H9" s="133" t="n"/>
      <c r="I9" s="133" t="n"/>
      <c r="J9" s="133" t="n"/>
      <c r="K9" s="133" t="n"/>
      <c r="L9" s="133" t="n"/>
      <c r="M9" s="133" t="n"/>
      <c r="N9" s="133" t="n"/>
      <c r="O9" s="133" t="n"/>
      <c r="P9" s="133" t="n"/>
      <c r="Q9" s="133" t="n"/>
      <c r="R9" s="133" t="n"/>
      <c r="S9" s="133" t="n"/>
      <c r="T9" s="133" t="n"/>
      <c r="U9" s="133" t="n"/>
      <c r="V9" s="133" t="n"/>
      <c r="W9" s="133" t="n"/>
      <c r="X9" s="133" t="n"/>
      <c r="Y9" s="133" t="n"/>
      <c r="Z9" s="133" t="n"/>
      <c r="AA9" s="148" t="n"/>
      <c r="AB9" s="148" t="n"/>
      <c r="AC9" s="48" t="n"/>
    </row>
    <row r="10" ht="79.2" customHeight="1" thickBot="1">
      <c r="A10" s="76" t="n"/>
      <c r="B10" s="149" t="n"/>
      <c r="C10" s="149" t="n"/>
      <c r="D10" s="150" t="n"/>
      <c r="E10" s="150" t="n"/>
      <c r="F10" s="150" t="n"/>
      <c r="G10" s="150" t="n"/>
      <c r="H10" s="150" t="n"/>
      <c r="I10" s="150" t="n"/>
      <c r="J10" s="150" t="n"/>
      <c r="K10" s="150" t="n"/>
      <c r="L10" s="150" t="n"/>
      <c r="M10" s="150" t="n"/>
      <c r="N10" s="150" t="n"/>
      <c r="O10" s="150" t="n"/>
      <c r="P10" s="150" t="n"/>
      <c r="Q10" s="150" t="n"/>
      <c r="R10" s="150" t="n"/>
      <c r="S10" s="150" t="n"/>
      <c r="T10" s="150" t="n"/>
      <c r="U10" s="150" t="n"/>
      <c r="V10" s="150" t="n"/>
      <c r="W10" s="150" t="n"/>
      <c r="X10" s="150" t="n"/>
      <c r="Y10" s="150" t="n"/>
      <c r="Z10" s="150" t="n"/>
      <c r="AA10" s="141" t="n"/>
      <c r="AB10" s="142" t="n"/>
      <c r="AC10" s="40" t="n"/>
    </row>
    <row r="11" ht="49.95" customFormat="1" customHeight="1" s="4" thickBot="1">
      <c r="A11" s="160" t="n"/>
      <c r="B11" s="161" t="inlineStr">
        <is>
          <t>Count -</t>
        </is>
      </c>
      <c r="C11" s="161" t="n"/>
      <c r="D11" s="266" t="n">
        <v>1</v>
      </c>
      <c r="E11" s="266" t="n">
        <v>2</v>
      </c>
      <c r="F11" s="266" t="n">
        <v>3</v>
      </c>
      <c r="G11" s="266" t="n">
        <v>4</v>
      </c>
      <c r="H11" s="266" t="n">
        <v>5</v>
      </c>
      <c r="I11" s="266" t="n">
        <v>6</v>
      </c>
      <c r="J11" s="266" t="n">
        <v>7</v>
      </c>
      <c r="K11" s="266" t="n">
        <v>8</v>
      </c>
      <c r="L11" s="266" t="n">
        <v>9</v>
      </c>
      <c r="M11" s="266" t="n">
        <v>10</v>
      </c>
      <c r="N11" s="266" t="n">
        <v>11</v>
      </c>
      <c r="O11" s="266" t="n">
        <v>12</v>
      </c>
      <c r="P11" s="266" t="n">
        <v>13</v>
      </c>
      <c r="Q11" s="266" t="n">
        <v>14</v>
      </c>
      <c r="R11" s="266" t="n">
        <v>15</v>
      </c>
      <c r="S11" s="266" t="n">
        <v>16</v>
      </c>
      <c r="T11" s="266" t="n">
        <v>17</v>
      </c>
      <c r="U11" s="266" t="n">
        <v>18</v>
      </c>
      <c r="V11" s="266" t="n">
        <v>19</v>
      </c>
      <c r="W11" s="266" t="n">
        <v>20</v>
      </c>
      <c r="X11" s="266" t="n">
        <v>21</v>
      </c>
      <c r="Y11" s="266" t="n">
        <v>22</v>
      </c>
      <c r="Z11" s="266" t="n"/>
      <c r="AA11" s="163" t="n"/>
      <c r="AB11" s="164" t="n"/>
      <c r="AC11" s="164" t="n"/>
    </row>
    <row r="12" ht="408.6" customHeight="1" thickBot="1">
      <c r="A12" s="165" t="inlineStr">
        <is>
          <t>Code</t>
        </is>
      </c>
      <c r="B12" s="165" t="inlineStr">
        <is>
          <t>Site ID --</t>
        </is>
      </c>
      <c r="C12" s="165" t="n"/>
      <c r="D12" s="221" t="inlineStr">
        <is>
          <t>I-RJ-MRTA-PMP-0053</t>
        </is>
      </c>
      <c r="E12" s="221" t="inlineStr">
        <is>
          <t>I-RJ-DENA-PMP-0006</t>
        </is>
      </c>
      <c r="F12" s="221" t="inlineStr">
        <is>
          <t>I-RJ-PASS-PMP-0007</t>
        </is>
      </c>
      <c r="G12" s="221" t="inlineStr">
        <is>
          <t>I-RJ-PASS-PMP-0008</t>
        </is>
      </c>
      <c r="H12" s="221" t="inlineStr">
        <is>
          <t>I-RJ-KESR-PMP-0018</t>
        </is>
      </c>
      <c r="I12" s="221" t="inlineStr">
        <is>
          <t>I-RJ-DDWN-PMP-0062</t>
        </is>
      </c>
      <c r="J12" s="221" t="inlineStr">
        <is>
          <t>I-RJ-MKRN-PMP-0030</t>
        </is>
      </c>
      <c r="K12" s="221" t="inlineStr">
        <is>
          <t>I-RJ-JAAW-PMP-0004</t>
        </is>
      </c>
      <c r="L12" s="221" t="inlineStr">
        <is>
          <t>I-RJ-JAAW-PMP-0005</t>
        </is>
      </c>
      <c r="M12" s="221" t="inlineStr">
        <is>
          <t>I-RJ-SNCE-PMP-0017</t>
        </is>
      </c>
      <c r="N12" s="221" t="inlineStr">
        <is>
          <t>I-RJ-BORA-PMP-0004</t>
        </is>
      </c>
      <c r="O12" s="221" t="inlineStr">
        <is>
          <t>I-RJ-BORA-PMP-0021</t>
        </is>
      </c>
      <c r="P12" s="221" t="inlineStr">
        <is>
          <t>I-RJ-BNML-PMP-0008</t>
        </is>
      </c>
      <c r="Q12" s="221" t="inlineStr">
        <is>
          <t>I-RJ-JLOR-PMP-0016</t>
        </is>
      </c>
      <c r="R12" s="221" t="inlineStr">
        <is>
          <t>I-RJ-BAGA-PMP-0001</t>
        </is>
      </c>
      <c r="S12" s="221" t="inlineStr">
        <is>
          <t>I-RJ-BNML-PMP-0003</t>
        </is>
      </c>
      <c r="T12" s="221" t="inlineStr">
        <is>
          <t>I-RJ-SNCE-PMP-0005</t>
        </is>
      </c>
      <c r="U12" s="221" t="inlineStr">
        <is>
          <t>I-RJ-SNCE-PMP-0013</t>
        </is>
      </c>
      <c r="V12" s="221" t="inlineStr">
        <is>
          <t>I-RJ-SNCE-PMP-0014</t>
        </is>
      </c>
      <c r="W12" s="221" t="inlineStr">
        <is>
          <t>I-RJ-KDRD-PMP-0001</t>
        </is>
      </c>
      <c r="X12" s="221" t="inlineStr">
        <is>
          <t>I-RJ-SNCE-PMP-0020</t>
        </is>
      </c>
      <c r="Y12" s="221" t="inlineStr">
        <is>
          <t>I-RJ-SNCE-PMP-0019</t>
        </is>
      </c>
      <c r="Z12" s="166" t="n"/>
      <c r="AA12" s="167" t="inlineStr">
        <is>
          <t>Total Quantity</t>
        </is>
      </c>
      <c r="AB12" s="168" t="inlineStr">
        <is>
          <t>RATE AS PER SOW</t>
        </is>
      </c>
      <c r="AC12" s="169" t="inlineStr">
        <is>
          <t>AMOUNT</t>
        </is>
      </c>
    </row>
    <row r="13" ht="108.6" customHeight="1" thickBot="1">
      <c r="A13" s="266" t="n"/>
      <c r="B13" s="266" t="inlineStr">
        <is>
          <t>Site Type</t>
        </is>
      </c>
      <c r="C13" s="406" t="n"/>
      <c r="D13" s="206" t="inlineStr">
        <is>
          <t>GBT</t>
        </is>
      </c>
      <c r="E13" s="206" t="inlineStr">
        <is>
          <t>GBT</t>
        </is>
      </c>
      <c r="F13" s="206" t="inlineStr">
        <is>
          <t>GBT</t>
        </is>
      </c>
      <c r="G13" s="206" t="inlineStr">
        <is>
          <t>GBT</t>
        </is>
      </c>
      <c r="H13" s="206" t="inlineStr">
        <is>
          <t>GBT</t>
        </is>
      </c>
      <c r="I13" s="206" t="inlineStr">
        <is>
          <t>GBT</t>
        </is>
      </c>
      <c r="J13" s="206" t="inlineStr">
        <is>
          <t>GBT</t>
        </is>
      </c>
      <c r="K13" s="206" t="inlineStr">
        <is>
          <t>GBT</t>
        </is>
      </c>
      <c r="L13" s="206" t="inlineStr">
        <is>
          <t>GBT</t>
        </is>
      </c>
      <c r="M13" s="206" t="inlineStr">
        <is>
          <t>GBT</t>
        </is>
      </c>
      <c r="N13" s="206" t="inlineStr">
        <is>
          <t>GBT</t>
        </is>
      </c>
      <c r="O13" s="206" t="inlineStr">
        <is>
          <t>GBT</t>
        </is>
      </c>
      <c r="P13" s="206" t="inlineStr">
        <is>
          <t>GBT</t>
        </is>
      </c>
      <c r="Q13" s="206" t="inlineStr">
        <is>
          <t>GBT</t>
        </is>
      </c>
      <c r="R13" s="206" t="inlineStr">
        <is>
          <t>GBT</t>
        </is>
      </c>
      <c r="S13" s="206" t="inlineStr">
        <is>
          <t>GBT</t>
        </is>
      </c>
      <c r="T13" s="206" t="inlineStr">
        <is>
          <t>GBT</t>
        </is>
      </c>
      <c r="U13" s="206" t="inlineStr">
        <is>
          <t>GBT</t>
        </is>
      </c>
      <c r="V13" s="206" t="inlineStr">
        <is>
          <t>GBT</t>
        </is>
      </c>
      <c r="W13" s="206" t="inlineStr">
        <is>
          <t>GBT</t>
        </is>
      </c>
      <c r="X13" s="206" t="inlineStr">
        <is>
          <t>GBT</t>
        </is>
      </c>
      <c r="Y13" s="206" t="inlineStr">
        <is>
          <t>GBT</t>
        </is>
      </c>
      <c r="Z13" s="170" t="n"/>
      <c r="AA13" s="171" t="n"/>
      <c r="AB13" s="172" t="n"/>
      <c r="AC13" s="173" t="n"/>
    </row>
    <row r="14" ht="82.2" customHeight="1" thickBot="1">
      <c r="A14" s="266" t="n"/>
      <c r="B14" s="266" t="inlineStr">
        <is>
          <t>Sectors</t>
        </is>
      </c>
      <c r="C14" s="406" t="n"/>
      <c r="D14" s="216" t="n">
        <v>1</v>
      </c>
      <c r="E14" s="216" t="n">
        <v>1</v>
      </c>
      <c r="F14" s="216" t="n">
        <v>1</v>
      </c>
      <c r="G14" s="216" t="n">
        <v>1</v>
      </c>
      <c r="H14" s="216" t="n">
        <v>1</v>
      </c>
      <c r="I14" s="216" t="n">
        <v>1</v>
      </c>
      <c r="J14" s="216" t="n">
        <v>1</v>
      </c>
      <c r="K14" s="216" t="n">
        <v>1</v>
      </c>
      <c r="L14" s="216" t="n">
        <v>2</v>
      </c>
      <c r="M14" s="216" t="n">
        <v>3</v>
      </c>
      <c r="N14" s="216" t="n">
        <v>1</v>
      </c>
      <c r="O14" s="216" t="n">
        <v>1</v>
      </c>
      <c r="P14" s="216" t="n">
        <v>1</v>
      </c>
      <c r="Q14" s="216" t="n">
        <v>1</v>
      </c>
      <c r="R14" s="216" t="n">
        <v>1</v>
      </c>
      <c r="S14" s="216" t="n">
        <v>1</v>
      </c>
      <c r="T14" s="216" t="n">
        <v>2</v>
      </c>
      <c r="U14" s="216" t="n">
        <v>1</v>
      </c>
      <c r="V14" s="216" t="n">
        <v>1</v>
      </c>
      <c r="W14" s="216" t="n">
        <v>1</v>
      </c>
      <c r="X14" s="216" t="n">
        <v>1</v>
      </c>
      <c r="Y14" s="216" t="n">
        <v>1</v>
      </c>
      <c r="Z14" s="172" t="n"/>
      <c r="AA14" s="171">
        <f>SUM(D14:Y14)</f>
        <v/>
      </c>
      <c r="AB14" s="172" t="n"/>
      <c r="AC14" s="266" t="n"/>
    </row>
    <row r="15" ht="104.25" customHeight="1" thickBot="1">
      <c r="A15" s="175" t="inlineStr">
        <is>
          <t>Item code</t>
        </is>
      </c>
      <c r="B15" s="176" t="inlineStr">
        <is>
          <t>Description of Item</t>
        </is>
      </c>
      <c r="C15" s="177" t="inlineStr">
        <is>
          <t>UOM</t>
        </is>
      </c>
      <c r="D15" s="178" t="n"/>
      <c r="E15" s="178"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9" t="n"/>
      <c r="AA15" s="180" t="n"/>
      <c r="AB15" s="180" t="n"/>
      <c r="AC15" s="181" t="n"/>
    </row>
    <row r="16" ht="64.95" customHeight="1" thickBot="1">
      <c r="A16" s="183" t="n">
        <v>3367489</v>
      </c>
      <c r="B16" s="182" t="inlineStr">
        <is>
          <t>CHRG BASE RADIO INST&amp;COMS AZIMUTH</t>
        </is>
      </c>
      <c r="C16" s="183" t="inlineStr">
        <is>
          <t>EA</t>
        </is>
      </c>
      <c r="D16" s="222" t="n">
        <v>1</v>
      </c>
      <c r="E16" s="222" t="n">
        <v>1</v>
      </c>
      <c r="F16" s="222" t="n">
        <v>1</v>
      </c>
      <c r="G16" s="222" t="n">
        <v>1</v>
      </c>
      <c r="H16" s="222" t="n">
        <v>1</v>
      </c>
      <c r="I16" s="222" t="n">
        <v>1</v>
      </c>
      <c r="J16" s="222" t="n">
        <v>1</v>
      </c>
      <c r="K16" s="222" t="n">
        <v>1</v>
      </c>
      <c r="L16" s="222" t="n">
        <v>2</v>
      </c>
      <c r="M16" s="222" t="n">
        <v>3</v>
      </c>
      <c r="N16" s="222" t="n">
        <v>1</v>
      </c>
      <c r="O16" s="222" t="n">
        <v>1</v>
      </c>
      <c r="P16" s="222" t="n">
        <v>1</v>
      </c>
      <c r="Q16" s="222" t="n">
        <v>1</v>
      </c>
      <c r="R16" s="222" t="n">
        <v>1</v>
      </c>
      <c r="S16" s="222" t="n">
        <v>1</v>
      </c>
      <c r="T16" s="222" t="n">
        <v>2</v>
      </c>
      <c r="U16" s="222" t="n">
        <v>1</v>
      </c>
      <c r="V16" s="222" t="n">
        <v>1</v>
      </c>
      <c r="W16" s="222" t="n">
        <v>1</v>
      </c>
      <c r="X16" s="222" t="n">
        <v>1</v>
      </c>
      <c r="Y16" s="222" t="n">
        <v>1</v>
      </c>
      <c r="Z16" s="184" t="n"/>
      <c r="AA16" s="171">
        <f>SUM(D16:Y16)</f>
        <v/>
      </c>
      <c r="AB16" s="171" t="n">
        <v>200</v>
      </c>
      <c r="AC16" s="185">
        <f>AA16*AB16</f>
        <v/>
      </c>
    </row>
    <row r="17" ht="64.95" customHeight="1" thickBot="1">
      <c r="A17" s="183" t="n">
        <v>3367548</v>
      </c>
      <c r="B17" s="182" t="inlineStr">
        <is>
          <t>CHRG LAYING-MULTIMODE FIBER CABLE</t>
        </is>
      </c>
      <c r="C17" s="183" t="inlineStr">
        <is>
          <t>M</t>
        </is>
      </c>
      <c r="D17" s="223" t="n">
        <v>5</v>
      </c>
      <c r="E17" s="223" t="n">
        <v>5</v>
      </c>
      <c r="F17" s="223" t="n">
        <v>5</v>
      </c>
      <c r="G17" s="223" t="n">
        <v>5</v>
      </c>
      <c r="H17" s="223" t="n">
        <v>5</v>
      </c>
      <c r="I17" s="223" t="n">
        <v>5</v>
      </c>
      <c r="J17" s="222" t="n">
        <v>50</v>
      </c>
      <c r="K17" s="223" t="n">
        <v>5</v>
      </c>
      <c r="L17" s="223" t="n">
        <v>10</v>
      </c>
      <c r="M17" s="223" t="n">
        <v>60</v>
      </c>
      <c r="N17" s="223" t="n">
        <v>5</v>
      </c>
      <c r="O17" s="223" t="n">
        <v>50</v>
      </c>
      <c r="P17" s="223" t="n">
        <v>5</v>
      </c>
      <c r="Q17" s="222" t="n">
        <v>5</v>
      </c>
      <c r="R17" s="223" t="n">
        <v>5</v>
      </c>
      <c r="S17" s="223" t="n">
        <v>5</v>
      </c>
      <c r="T17" s="223" t="n">
        <v>100</v>
      </c>
      <c r="U17" s="223" t="n">
        <v>5</v>
      </c>
      <c r="V17" s="223" t="n">
        <v>50</v>
      </c>
      <c r="W17" s="223" t="n">
        <v>5</v>
      </c>
      <c r="X17" s="223" t="n">
        <v>50</v>
      </c>
      <c r="Y17" s="223" t="n">
        <v>50</v>
      </c>
      <c r="Z17" s="184" t="n"/>
      <c r="AA17" s="171">
        <f>SUM(D17:Y17)</f>
        <v/>
      </c>
      <c r="AB17" s="171" t="n">
        <v>5</v>
      </c>
      <c r="AC17" s="185">
        <f>AA17*AB17</f>
        <v/>
      </c>
    </row>
    <row r="18" ht="64.95" customHeight="1" thickBot="1">
      <c r="A18" s="183" t="n">
        <v>3137158</v>
      </c>
      <c r="B18" s="182" t="inlineStr">
        <is>
          <t>LAYING-2CX2.5SQMM POWER CABLE</t>
        </is>
      </c>
      <c r="C18" s="183" t="inlineStr">
        <is>
          <t>M</t>
        </is>
      </c>
      <c r="D18" s="223" t="n">
        <v>50</v>
      </c>
      <c r="E18" s="223" t="n">
        <v>50</v>
      </c>
      <c r="F18" s="223" t="n">
        <v>50</v>
      </c>
      <c r="G18" s="223" t="n">
        <v>50</v>
      </c>
      <c r="H18" s="223" t="n">
        <v>50</v>
      </c>
      <c r="I18" s="223" t="n">
        <v>50</v>
      </c>
      <c r="J18" s="222" t="n">
        <v>50</v>
      </c>
      <c r="K18" s="223" t="n">
        <v>50</v>
      </c>
      <c r="L18" s="223" t="n">
        <v>100</v>
      </c>
      <c r="M18" s="223" t="n">
        <v>150</v>
      </c>
      <c r="N18" s="223" t="n">
        <v>50</v>
      </c>
      <c r="O18" s="223" t="n">
        <v>50</v>
      </c>
      <c r="P18" s="223" t="n">
        <v>50</v>
      </c>
      <c r="Q18" s="222" t="n">
        <v>50</v>
      </c>
      <c r="R18" s="223" t="n">
        <v>50</v>
      </c>
      <c r="S18" s="223" t="n">
        <v>50</v>
      </c>
      <c r="T18" s="223" t="n">
        <v>100</v>
      </c>
      <c r="U18" s="223" t="n">
        <v>50</v>
      </c>
      <c r="V18" s="223" t="n">
        <v>50</v>
      </c>
      <c r="W18" s="223" t="n">
        <v>50</v>
      </c>
      <c r="X18" s="223" t="n">
        <v>50</v>
      </c>
      <c r="Y18" s="223" t="n">
        <v>50</v>
      </c>
      <c r="Z18" s="184" t="n"/>
      <c r="AA18" s="171">
        <f>SUM(D18:Y18)</f>
        <v/>
      </c>
      <c r="AB18" s="171" t="n">
        <v>12</v>
      </c>
      <c r="AC18" s="185">
        <f>AA18*AB18</f>
        <v/>
      </c>
    </row>
    <row r="19" ht="129.6" customFormat="1" customHeight="1" s="90" thickBot="1">
      <c r="A19" s="183" t="n">
        <v>3397253</v>
      </c>
      <c r="B19" s="182" t="inlineStr">
        <is>
          <t>CHRG EXTRA TRANSPORT. &gt; 50 KM (PICKUP</t>
        </is>
      </c>
      <c r="C19" s="183" t="inlineStr">
        <is>
          <t>KM</t>
        </is>
      </c>
      <c r="D19" s="224" t="n">
        <v>14</v>
      </c>
      <c r="E19" s="224" t="n">
        <v>126</v>
      </c>
      <c r="F19" s="224" t="n">
        <v>35</v>
      </c>
      <c r="G19" s="224" t="n">
        <v>5</v>
      </c>
      <c r="H19" s="224" t="n">
        <v>62</v>
      </c>
      <c r="I19" s="224" t="n">
        <v>167</v>
      </c>
      <c r="J19" s="174" t="n">
        <v>30</v>
      </c>
      <c r="K19" s="224" t="n">
        <v>114</v>
      </c>
      <c r="L19" s="224" t="n">
        <v>8</v>
      </c>
      <c r="M19" s="224" t="n">
        <v>40</v>
      </c>
      <c r="N19" s="224" t="n">
        <v>168</v>
      </c>
      <c r="O19" s="224" t="n">
        <v>21</v>
      </c>
      <c r="P19" s="224" t="n">
        <v>20</v>
      </c>
      <c r="Q19" s="224" t="n">
        <v>71</v>
      </c>
      <c r="R19" s="224" t="n">
        <v>21</v>
      </c>
      <c r="S19" s="224" t="n">
        <v>55</v>
      </c>
      <c r="T19" s="224" t="n">
        <v>185</v>
      </c>
      <c r="U19" s="224" t="n">
        <v>18</v>
      </c>
      <c r="V19" s="224" t="n">
        <v>31</v>
      </c>
      <c r="W19" s="224" t="n">
        <v>184</v>
      </c>
      <c r="X19" s="224" t="n">
        <v>28</v>
      </c>
      <c r="Y19" s="224" t="n">
        <v>15</v>
      </c>
      <c r="Z19" s="184" t="n"/>
      <c r="AA19" s="171">
        <f>SUM(D19:Y19)</f>
        <v/>
      </c>
      <c r="AB19" s="171" t="n">
        <v>20</v>
      </c>
      <c r="AC19" s="185">
        <f>AA19*AB19</f>
        <v/>
      </c>
    </row>
    <row r="20" ht="64.95" customHeight="1" thickBot="1">
      <c r="A20" s="183" t="n">
        <v>3397271</v>
      </c>
      <c r="B20" s="182" t="inlineStr">
        <is>
          <t xml:space="preserve">CHRG TRANSPORT-UPTO 50KM-SCV-2-3SITE </t>
        </is>
      </c>
      <c r="C20" s="183" t="inlineStr">
        <is>
          <t>EA</t>
        </is>
      </c>
      <c r="D20" s="174" t="n">
        <v>1</v>
      </c>
      <c r="E20" s="174" t="n">
        <v>1</v>
      </c>
      <c r="F20" s="174" t="n">
        <v>1</v>
      </c>
      <c r="G20" s="174" t="n">
        <v>1</v>
      </c>
      <c r="H20" s="174" t="n">
        <v>1</v>
      </c>
      <c r="I20" s="174" t="n">
        <v>1</v>
      </c>
      <c r="J20" s="174" t="n">
        <v>1</v>
      </c>
      <c r="K20" s="174" t="n">
        <v>1</v>
      </c>
      <c r="L20" s="174" t="n">
        <v>1</v>
      </c>
      <c r="M20" s="174" t="n">
        <v>1</v>
      </c>
      <c r="N20" s="174" t="n">
        <v>1</v>
      </c>
      <c r="O20" s="174" t="n">
        <v>1</v>
      </c>
      <c r="P20" s="174" t="n">
        <v>1</v>
      </c>
      <c r="Q20" s="174" t="n">
        <v>1</v>
      </c>
      <c r="R20" s="174" t="n">
        <v>1</v>
      </c>
      <c r="S20" s="174" t="n">
        <v>1</v>
      </c>
      <c r="T20" s="174" t="n">
        <v>1</v>
      </c>
      <c r="U20" s="174" t="n">
        <v>1</v>
      </c>
      <c r="V20" s="174" t="n">
        <v>1</v>
      </c>
      <c r="W20" s="174" t="n">
        <v>1</v>
      </c>
      <c r="X20" s="174" t="n">
        <v>1</v>
      </c>
      <c r="Y20" s="174" t="n">
        <v>1</v>
      </c>
      <c r="Z20" s="184" t="n"/>
      <c r="AA20" s="171">
        <f>SUM(D20:Y20)</f>
        <v/>
      </c>
      <c r="AB20" s="171" t="n">
        <v>1500</v>
      </c>
      <c r="AC20" s="185">
        <f>AA20*AB20</f>
        <v/>
      </c>
    </row>
    <row r="21" ht="64.95" customHeight="1" thickBot="1">
      <c r="A21" s="183" t="n">
        <v>3367713</v>
      </c>
      <c r="B21" s="182" t="inlineStr">
        <is>
          <t>CHRG ATP-11C - WIFI A6 DEPLOYMENT</t>
        </is>
      </c>
      <c r="C21" s="183" t="inlineStr">
        <is>
          <t>EA</t>
        </is>
      </c>
      <c r="D21" s="174" t="n">
        <v>1</v>
      </c>
      <c r="E21" s="174" t="n">
        <v>1</v>
      </c>
      <c r="F21" s="174" t="n">
        <v>1</v>
      </c>
      <c r="G21" s="174" t="n">
        <v>1</v>
      </c>
      <c r="H21" s="174" t="n">
        <v>1</v>
      </c>
      <c r="I21" s="174" t="n">
        <v>1</v>
      </c>
      <c r="J21" s="174" t="n">
        <v>1</v>
      </c>
      <c r="K21" s="174" t="n">
        <v>1</v>
      </c>
      <c r="L21" s="174" t="n">
        <v>1</v>
      </c>
      <c r="M21" s="174" t="n">
        <v>1</v>
      </c>
      <c r="N21" s="174" t="n">
        <v>1</v>
      </c>
      <c r="O21" s="174" t="n">
        <v>1</v>
      </c>
      <c r="P21" s="174" t="n">
        <v>1</v>
      </c>
      <c r="Q21" s="174" t="n">
        <v>1</v>
      </c>
      <c r="R21" s="174" t="n">
        <v>1</v>
      </c>
      <c r="S21" s="174" t="n">
        <v>1</v>
      </c>
      <c r="T21" s="174" t="n">
        <v>1</v>
      </c>
      <c r="U21" s="174" t="n">
        <v>1</v>
      </c>
      <c r="V21" s="174" t="n">
        <v>1</v>
      </c>
      <c r="W21" s="174" t="n">
        <v>1</v>
      </c>
      <c r="X21" s="174" t="n">
        <v>1</v>
      </c>
      <c r="Y21" s="174" t="n">
        <v>1</v>
      </c>
      <c r="Z21" s="184" t="n"/>
      <c r="AA21" s="171">
        <f>SUM(D21:Y21)</f>
        <v/>
      </c>
      <c r="AB21" s="171" t="n">
        <v>700</v>
      </c>
      <c r="AC21" s="185">
        <f>AA21*AB21</f>
        <v/>
      </c>
    </row>
    <row r="22" ht="64.95" customHeight="1" thickBot="1">
      <c r="A22" s="183" t="n">
        <v>3367739</v>
      </c>
      <c r="B22" s="182" t="inlineStr">
        <is>
          <t>CHRG ATP-11A - WIFI A6 DEPLOYMENT</t>
        </is>
      </c>
      <c r="C22" s="183" t="inlineStr">
        <is>
          <t>EA</t>
        </is>
      </c>
      <c r="D22" s="174" t="n">
        <v>1</v>
      </c>
      <c r="E22" s="174" t="n">
        <v>1</v>
      </c>
      <c r="F22" s="174" t="n">
        <v>1</v>
      </c>
      <c r="G22" s="174" t="n">
        <v>1</v>
      </c>
      <c r="H22" s="174" t="n">
        <v>1</v>
      </c>
      <c r="I22" s="174" t="n">
        <v>1</v>
      </c>
      <c r="J22" s="174" t="n">
        <v>1</v>
      </c>
      <c r="K22" s="174" t="n">
        <v>1</v>
      </c>
      <c r="L22" s="174" t="n">
        <v>1</v>
      </c>
      <c r="M22" s="174" t="n">
        <v>1</v>
      </c>
      <c r="N22" s="174" t="n">
        <v>1</v>
      </c>
      <c r="O22" s="174" t="n">
        <v>1</v>
      </c>
      <c r="P22" s="174" t="n">
        <v>1</v>
      </c>
      <c r="Q22" s="174" t="n">
        <v>1</v>
      </c>
      <c r="R22" s="174" t="n">
        <v>1</v>
      </c>
      <c r="S22" s="174" t="n">
        <v>1</v>
      </c>
      <c r="T22" s="174" t="n">
        <v>1</v>
      </c>
      <c r="U22" s="174" t="n">
        <v>1</v>
      </c>
      <c r="V22" s="174" t="n">
        <v>1</v>
      </c>
      <c r="W22" s="174" t="n">
        <v>1</v>
      </c>
      <c r="X22" s="174" t="n">
        <v>1</v>
      </c>
      <c r="Y22" s="174" t="n">
        <v>1</v>
      </c>
      <c r="Z22" s="184" t="n"/>
      <c r="AA22" s="171">
        <f>SUM(D22:Y22)</f>
        <v/>
      </c>
      <c r="AB22" s="171" t="n">
        <v>700</v>
      </c>
      <c r="AC22" s="185">
        <f>AA22*AB22</f>
        <v/>
      </c>
    </row>
    <row r="23" ht="64.95" customHeight="1" thickBot="1">
      <c r="A23" s="183" t="n">
        <v>3317347</v>
      </c>
      <c r="B23" s="182" t="inlineStr">
        <is>
          <t>SITC 1CX6 SQMM CU CBL YY FRLSH</t>
        </is>
      </c>
      <c r="C23" s="183" t="inlineStr">
        <is>
          <t>M</t>
        </is>
      </c>
      <c r="D23" s="174">
        <f>D16*2</f>
        <v/>
      </c>
      <c r="E23" s="174">
        <f>E16*2</f>
        <v/>
      </c>
      <c r="F23" s="174">
        <f>F16*2</f>
        <v/>
      </c>
      <c r="G23" s="174">
        <f>G16*2</f>
        <v/>
      </c>
      <c r="H23" s="174">
        <f>H16*2</f>
        <v/>
      </c>
      <c r="I23" s="174">
        <f>I16*2</f>
        <v/>
      </c>
      <c r="J23" s="174">
        <f>J16*2</f>
        <v/>
      </c>
      <c r="K23" s="174">
        <f>K16*2</f>
        <v/>
      </c>
      <c r="L23" s="174">
        <f>L16*2</f>
        <v/>
      </c>
      <c r="M23" s="174">
        <f>M16*2</f>
        <v/>
      </c>
      <c r="N23" s="174">
        <f>N16*2</f>
        <v/>
      </c>
      <c r="O23" s="174">
        <f>O16*2</f>
        <v/>
      </c>
      <c r="P23" s="174">
        <f>P16*2</f>
        <v/>
      </c>
      <c r="Q23" s="174">
        <f>Q16*2</f>
        <v/>
      </c>
      <c r="R23" s="174">
        <f>R16*2</f>
        <v/>
      </c>
      <c r="S23" s="174">
        <f>S16*2</f>
        <v/>
      </c>
      <c r="T23" s="174">
        <f>T16*2</f>
        <v/>
      </c>
      <c r="U23" s="174">
        <f>U16*2</f>
        <v/>
      </c>
      <c r="V23" s="174">
        <f>V16*2</f>
        <v/>
      </c>
      <c r="W23" s="174">
        <f>W16*2</f>
        <v/>
      </c>
      <c r="X23" s="174">
        <f>X16*2</f>
        <v/>
      </c>
      <c r="Y23" s="174">
        <f>Y16*2</f>
        <v/>
      </c>
      <c r="Z23" s="184" t="n"/>
      <c r="AA23" s="171">
        <f>SUM(D23:Y23)</f>
        <v/>
      </c>
      <c r="AB23" s="171" t="n">
        <v>68</v>
      </c>
      <c r="AC23" s="185">
        <f>AA23*AB23</f>
        <v/>
      </c>
    </row>
    <row r="24" ht="64.95" customHeight="1" thickBot="1">
      <c r="A24" s="205" t="n">
        <v>3383067</v>
      </c>
      <c r="B24" s="186" t="inlineStr">
        <is>
          <t>CHRG APPLY PUFF SEALENT AT CABLE ENTRY</t>
        </is>
      </c>
      <c r="C24" s="183" t="inlineStr">
        <is>
          <t>EA</t>
        </is>
      </c>
      <c r="D24" s="174" t="n">
        <v>1</v>
      </c>
      <c r="E24" s="174" t="n">
        <v>0</v>
      </c>
      <c r="F24" s="174" t="n">
        <v>1</v>
      </c>
      <c r="G24" s="174" t="n">
        <v>0</v>
      </c>
      <c r="H24" s="174" t="n">
        <v>1</v>
      </c>
      <c r="I24" s="174" t="n">
        <v>1</v>
      </c>
      <c r="J24" s="174" t="n">
        <v>0</v>
      </c>
      <c r="K24" s="174" t="n">
        <v>1</v>
      </c>
      <c r="L24" s="174" t="n">
        <v>0</v>
      </c>
      <c r="M24" s="174" t="n">
        <v>1</v>
      </c>
      <c r="N24" s="174" t="n">
        <v>0</v>
      </c>
      <c r="O24" s="174" t="n">
        <v>1</v>
      </c>
      <c r="P24" s="174" t="n">
        <v>1</v>
      </c>
      <c r="Q24" s="174" t="n">
        <v>0</v>
      </c>
      <c r="R24" s="174" t="n">
        <v>1</v>
      </c>
      <c r="S24" s="174" t="n">
        <v>0</v>
      </c>
      <c r="T24" s="174" t="n">
        <v>1</v>
      </c>
      <c r="U24" s="174" t="n">
        <v>0</v>
      </c>
      <c r="V24" s="174" t="n">
        <v>1</v>
      </c>
      <c r="W24" s="174" t="n">
        <v>0</v>
      </c>
      <c r="X24" s="174" t="n">
        <v>1</v>
      </c>
      <c r="Y24" s="174" t="n">
        <v>0</v>
      </c>
      <c r="Z24" s="184" t="n"/>
      <c r="AA24" s="171">
        <f>SUM(D24:Y24)</f>
        <v/>
      </c>
      <c r="AB24" s="171" t="n">
        <v>330</v>
      </c>
      <c r="AC24" s="185">
        <f>AA24*AB24</f>
        <v/>
      </c>
    </row>
    <row r="25" ht="64.95" customHeight="1" thickBot="1">
      <c r="A25" s="183" t="n">
        <v>3269867</v>
      </c>
      <c r="B25" s="182" t="inlineStr">
        <is>
          <t>TERMINATION OF CABLE 1CX6 SQMM Y</t>
        </is>
      </c>
      <c r="C25" s="187" t="inlineStr">
        <is>
          <t>M</t>
        </is>
      </c>
      <c r="D25" s="174">
        <f>D16*2</f>
        <v/>
      </c>
      <c r="E25" s="174">
        <f>E16*2</f>
        <v/>
      </c>
      <c r="F25" s="174">
        <f>F16*2</f>
        <v/>
      </c>
      <c r="G25" s="174">
        <f>G16*2</f>
        <v/>
      </c>
      <c r="H25" s="174">
        <f>H16*2</f>
        <v/>
      </c>
      <c r="I25" s="174">
        <f>I16*2</f>
        <v/>
      </c>
      <c r="J25" s="174">
        <f>J16*2</f>
        <v/>
      </c>
      <c r="K25" s="174">
        <f>K16*2</f>
        <v/>
      </c>
      <c r="L25" s="174">
        <f>L16*2</f>
        <v/>
      </c>
      <c r="M25" s="174">
        <f>M16*2</f>
        <v/>
      </c>
      <c r="N25" s="174">
        <f>N16*2</f>
        <v/>
      </c>
      <c r="O25" s="174">
        <f>O16*2</f>
        <v/>
      </c>
      <c r="P25" s="174">
        <f>P16*2</f>
        <v/>
      </c>
      <c r="Q25" s="174">
        <f>Q16*2</f>
        <v/>
      </c>
      <c r="R25" s="174">
        <f>R16*2</f>
        <v/>
      </c>
      <c r="S25" s="174">
        <f>S16*2</f>
        <v/>
      </c>
      <c r="T25" s="174">
        <f>T16*2</f>
        <v/>
      </c>
      <c r="U25" s="174">
        <f>U16*2</f>
        <v/>
      </c>
      <c r="V25" s="174">
        <f>V16*2</f>
        <v/>
      </c>
      <c r="W25" s="174">
        <f>W16*2</f>
        <v/>
      </c>
      <c r="X25" s="174">
        <f>X16*2</f>
        <v/>
      </c>
      <c r="Y25" s="174">
        <f>Y16*2</f>
        <v/>
      </c>
      <c r="Z25" s="184" t="n"/>
      <c r="AA25" s="171">
        <f>SUM(D25:Y25)</f>
        <v/>
      </c>
      <c r="AB25" s="171" t="n">
        <v>40</v>
      </c>
      <c r="AC25" s="185">
        <f>AA25*AB25</f>
        <v/>
      </c>
    </row>
    <row r="26" ht="103.95" customHeight="1" thickBot="1">
      <c r="A26" s="188" t="n"/>
      <c r="B26" s="188" t="n"/>
      <c r="C26" s="188" t="n"/>
      <c r="D26" s="188" t="n"/>
      <c r="E26" s="188" t="n"/>
      <c r="F26" s="188" t="n"/>
      <c r="G26" s="188" t="n"/>
      <c r="H26" s="188" t="n"/>
      <c r="I26" s="188" t="n"/>
      <c r="J26" s="188" t="n"/>
      <c r="K26" s="188" t="n"/>
      <c r="L26" s="188" t="n"/>
      <c r="M26" s="188" t="n"/>
      <c r="N26" s="188" t="n"/>
      <c r="O26" s="188" t="n"/>
      <c r="P26" s="188" t="n"/>
      <c r="Q26" s="188" t="n"/>
      <c r="R26" s="188" t="n"/>
      <c r="S26" s="188" t="n"/>
      <c r="T26" s="188" t="n"/>
      <c r="U26" s="188" t="n"/>
      <c r="V26" s="188" t="n"/>
      <c r="W26" s="188" t="n"/>
      <c r="X26" s="188" t="n"/>
      <c r="Y26" s="188" t="n"/>
      <c r="Z26" s="188" t="n"/>
      <c r="AA26" s="265" t="inlineStr">
        <is>
          <t>TOTAL</t>
        </is>
      </c>
      <c r="AB26" s="406" t="n"/>
      <c r="AC26" s="265">
        <f>SUM(AC16:AC25)</f>
        <v/>
      </c>
    </row>
    <row r="27" ht="61.2" customFormat="1" customHeight="1" s="1">
      <c r="A27" s="60" t="inlineStr">
        <is>
          <t xml:space="preserve">         SIGN:                                                                                                                                                                                                                                                          </t>
        </is>
      </c>
      <c r="B27" s="135" t="n"/>
      <c r="C27" s="136" t="inlineStr">
        <is>
          <t xml:space="preserve"> SIGN:     </t>
        </is>
      </c>
      <c r="G27" s="137" t="n"/>
      <c r="H27" s="137" t="n"/>
      <c r="I27" s="137" t="n"/>
      <c r="J27" s="137" t="n"/>
      <c r="K27" s="137" t="n"/>
      <c r="L27" s="137" t="n"/>
      <c r="M27" s="137" t="n"/>
      <c r="N27" s="138" t="inlineStr">
        <is>
          <t>SIGN:</t>
        </is>
      </c>
      <c r="O27" s="138" t="n"/>
      <c r="P27" s="137" t="n"/>
      <c r="Q27" s="137" t="n"/>
      <c r="R27" s="136" t="n"/>
      <c r="S27" s="138" t="n"/>
      <c r="T27" s="138" t="n"/>
      <c r="U27" s="138" t="n"/>
      <c r="V27" s="138" t="n"/>
      <c r="W27" s="138" t="n"/>
      <c r="X27" s="138" t="inlineStr">
        <is>
          <t>SIGN:</t>
        </is>
      </c>
      <c r="Y27" s="138" t="n"/>
      <c r="Z27" s="136" t="n"/>
      <c r="AA27" s="135" t="n"/>
      <c r="AB27" s="136" t="inlineStr">
        <is>
          <t>   </t>
        </is>
      </c>
      <c r="AC27" s="64" t="n"/>
    </row>
    <row r="28" ht="61.2" customFormat="1" customHeight="1" s="1">
      <c r="A28" s="60" t="n"/>
      <c r="B28" s="135" t="n"/>
      <c r="C28" s="136" t="inlineStr">
        <is>
          <t xml:space="preserve"> PROJECT-IN-CHARGE </t>
        </is>
      </c>
      <c r="G28" s="137" t="n"/>
      <c r="H28" s="137" t="n"/>
      <c r="I28" s="137" t="n"/>
      <c r="J28" s="137" t="n"/>
      <c r="K28" s="137" t="n"/>
      <c r="L28" s="137" t="n"/>
      <c r="M28" s="137" t="n"/>
      <c r="N28" s="138" t="inlineStr">
        <is>
          <t>DEPLOYMENT HEAD</t>
        </is>
      </c>
      <c r="O28" s="138" t="n"/>
      <c r="P28" s="137" t="n"/>
      <c r="Q28" s="137" t="n"/>
      <c r="R28" s="136" t="n"/>
      <c r="S28" s="138" t="n"/>
      <c r="T28" s="138" t="n"/>
      <c r="U28" s="138" t="n"/>
      <c r="V28" s="138" t="n"/>
      <c r="W28" s="138" t="n"/>
      <c r="X28" s="135" t="inlineStr">
        <is>
          <t>RJIO CTO</t>
        </is>
      </c>
      <c r="Y28" s="135" t="n"/>
      <c r="Z28" s="136" t="n"/>
      <c r="AA28" s="135" t="n"/>
      <c r="AB28" s="135" t="n"/>
      <c r="AC28" s="64" t="n"/>
    </row>
    <row r="29" ht="61.2" customFormat="1" customHeight="1" s="1">
      <c r="A29" s="60" t="inlineStr">
        <is>
          <t>                                                                                                                                                                                                                                                                                              </t>
        </is>
      </c>
      <c r="B29" s="135" t="inlineStr">
        <is>
          <t xml:space="preserve">                                                                MR. YUNUS KHAN</t>
        </is>
      </c>
      <c r="C29" s="137" t="n"/>
      <c r="G29" s="136" t="n"/>
      <c r="H29" s="136" t="n"/>
      <c r="I29" s="136" t="n"/>
      <c r="J29" s="136" t="n"/>
      <c r="K29" s="136" t="n"/>
      <c r="L29" s="136" t="n"/>
      <c r="M29" s="136" t="n"/>
      <c r="N29" s="138" t="inlineStr">
        <is>
          <t xml:space="preserve">MR. MANISH NAHAR </t>
        </is>
      </c>
      <c r="O29" s="138" t="n"/>
      <c r="P29" s="136" t="n"/>
      <c r="Q29" s="136" t="n"/>
      <c r="R29" s="136" t="n"/>
      <c r="S29" s="138" t="n"/>
      <c r="T29" s="138" t="n"/>
      <c r="U29" s="138" t="n"/>
      <c r="V29" s="138" t="n"/>
      <c r="W29" s="138" t="n"/>
      <c r="X29" s="138" t="inlineStr">
        <is>
          <t>MR.RAJEEV KUMAR GUPTA</t>
        </is>
      </c>
      <c r="Y29" s="138" t="n"/>
      <c r="Z29" s="136" t="n"/>
      <c r="AA29" s="135" t="n"/>
      <c r="AB29" s="135" t="n"/>
      <c r="AC29" s="64" t="n"/>
    </row>
    <row r="30" ht="61.2" customFormat="1" customHeight="1" s="1">
      <c r="A30" s="60" t="inlineStr">
        <is>
          <t xml:space="preserve">         DATE:                                                                                                                                                                                                                                                                                                                                      DATE:</t>
        </is>
      </c>
      <c r="B30" s="135" t="n"/>
      <c r="C30" s="136" t="inlineStr">
        <is>
          <t xml:space="preserve">  DATE:  </t>
        </is>
      </c>
      <c r="G30" s="137" t="n"/>
      <c r="H30" s="137" t="n"/>
      <c r="I30" s="137" t="n"/>
      <c r="J30" s="137" t="n"/>
      <c r="K30" s="137" t="n"/>
      <c r="L30" s="137" t="n"/>
      <c r="M30" s="137" t="n"/>
      <c r="N30" s="138" t="inlineStr">
        <is>
          <t xml:space="preserve">DATE:  </t>
        </is>
      </c>
      <c r="O30" s="138" t="n"/>
      <c r="P30" s="137" t="n"/>
      <c r="Q30" s="137" t="n"/>
      <c r="R30" s="136" t="n"/>
      <c r="S30" s="138" t="n"/>
      <c r="T30" s="138" t="n"/>
      <c r="U30" s="138" t="n"/>
      <c r="V30" s="138" t="n"/>
      <c r="W30" s="138" t="n"/>
      <c r="X30" s="138" t="inlineStr">
        <is>
          <t xml:space="preserve">DATE:  </t>
        </is>
      </c>
      <c r="Y30" s="138" t="n"/>
      <c r="Z30" s="136" t="n"/>
      <c r="AA30" s="135" t="n"/>
      <c r="AB30" s="135" t="n"/>
      <c r="AC30" s="64" t="n"/>
    </row>
    <row r="31" ht="61.2" customFormat="1" customHeight="1" s="1">
      <c r="A31" s="60" t="n"/>
      <c r="B31" s="135" t="n"/>
      <c r="C31" s="135" t="n"/>
      <c r="D31" s="136" t="n"/>
      <c r="E31" s="136" t="n"/>
      <c r="F31" s="136" t="n"/>
      <c r="G31" s="136" t="n"/>
      <c r="H31" s="136" t="n"/>
      <c r="I31" s="136" t="n"/>
      <c r="J31" s="136" t="n"/>
      <c r="K31" s="136" t="n"/>
      <c r="L31" s="136" t="n"/>
      <c r="M31" s="136" t="n"/>
      <c r="N31" s="136" t="n"/>
      <c r="O31" s="136" t="n"/>
      <c r="P31" s="136" t="n"/>
      <c r="Q31" s="136" t="n"/>
      <c r="R31" s="136" t="n"/>
      <c r="S31" s="138" t="n"/>
      <c r="T31" s="136" t="n"/>
      <c r="U31" s="136" t="n"/>
      <c r="V31" s="136" t="n"/>
      <c r="W31" s="136" t="n"/>
      <c r="X31" s="136" t="n"/>
      <c r="Y31" s="136" t="n"/>
      <c r="Z31" s="136" t="n"/>
      <c r="AA31" s="135" t="n"/>
      <c r="AB31" s="135" t="n"/>
      <c r="AC31" s="64" t="n"/>
    </row>
    <row r="32" ht="31.2" customHeight="1">
      <c r="A32" s="51" t="n"/>
      <c r="B32" s="52" t="n"/>
      <c r="C32" s="52" t="n"/>
      <c r="D32" s="139" t="n"/>
      <c r="E32" s="139" t="n"/>
      <c r="F32" s="139" t="n"/>
      <c r="G32" s="139" t="n"/>
      <c r="H32" s="139" t="n"/>
      <c r="I32" s="139" t="n"/>
      <c r="J32" s="139" t="n"/>
      <c r="K32" s="139" t="n"/>
      <c r="L32" s="139" t="n"/>
      <c r="M32" s="139" t="n"/>
      <c r="N32" s="139" t="n"/>
      <c r="O32" s="139" t="n"/>
      <c r="P32" s="139" t="n"/>
      <c r="Q32" s="139" t="n"/>
      <c r="R32" s="139" t="n"/>
      <c r="S32" s="139" t="n"/>
      <c r="T32" s="139" t="n"/>
      <c r="U32" s="139" t="n"/>
      <c r="V32" s="139" t="n"/>
      <c r="W32" s="139" t="n"/>
      <c r="X32" s="139" t="n"/>
      <c r="Y32" s="139" t="n"/>
      <c r="Z32" s="139" t="n"/>
      <c r="AA32" s="53" t="n"/>
      <c r="AB32" s="53" t="n"/>
      <c r="AC32" s="54" t="n"/>
    </row>
    <row r="33" ht="131.4" customHeight="1" thickBot="1">
      <c r="A33" s="55" t="n"/>
      <c r="B33" s="56" t="n"/>
      <c r="C33" s="56" t="n"/>
      <c r="D33" s="83" t="n"/>
      <c r="E33" s="83" t="n"/>
      <c r="F33" s="83" t="n"/>
      <c r="G33" s="83" t="n"/>
      <c r="H33" s="83" t="n"/>
      <c r="I33" s="83" t="n"/>
      <c r="J33" s="83" t="n"/>
      <c r="K33" s="83" t="n"/>
      <c r="L33" s="83" t="n"/>
      <c r="M33" s="83" t="n"/>
      <c r="N33" s="83" t="n"/>
      <c r="O33" s="83" t="n"/>
      <c r="P33" s="83" t="n"/>
      <c r="Q33" s="83" t="n"/>
      <c r="R33" s="83" t="n"/>
      <c r="S33" s="83" t="n"/>
      <c r="T33" s="83" t="n"/>
      <c r="U33" s="83" t="n"/>
      <c r="V33" s="83" t="n"/>
      <c r="W33" s="83" t="n"/>
      <c r="X33" s="83" t="n"/>
      <c r="Y33" s="83" t="n"/>
      <c r="Z33" s="83" t="n"/>
      <c r="AA33" s="57" t="n"/>
      <c r="AB33" s="57" t="n"/>
      <c r="AC33" s="58" t="n"/>
    </row>
  </sheetData>
  <mergeCells count="7">
    <mergeCell ref="B13:C13"/>
    <mergeCell ref="S5:X5"/>
    <mergeCell ref="S6:X6"/>
    <mergeCell ref="A3:AC3"/>
    <mergeCell ref="S4:X4"/>
    <mergeCell ref="B14:C14"/>
    <mergeCell ref="AA26:AB26"/>
  </mergeCells>
  <pageMargins left="0.32" right="0.45" top="0.35" bottom="0.25" header="0.3" footer="0.3"/>
  <pageSetup orientation="landscape" paperSize="9" scale="18"/>
</worksheet>
</file>

<file path=xl/worksheets/sheet6.xml><?xml version="1.0" encoding="utf-8"?>
<worksheet xmlns="http://schemas.openxmlformats.org/spreadsheetml/2006/main">
  <sheetPr>
    <outlinePr summaryBelow="1" summaryRight="1"/>
    <pageSetUpPr/>
  </sheetPr>
  <dimension ref="A1:N29"/>
  <sheetViews>
    <sheetView workbookViewId="0">
      <selection activeCell="A17" sqref="A17:I17"/>
    </sheetView>
  </sheetViews>
  <sheetFormatPr baseColWidth="8" defaultRowHeight="14.4"/>
  <cols>
    <col width="24.44140625" customWidth="1" min="2" max="2"/>
    <col width="17" customWidth="1" min="6" max="6"/>
    <col width="13.6640625" customWidth="1" min="7" max="7"/>
    <col width="26.33203125" customWidth="1" min="9" max="9"/>
  </cols>
  <sheetData>
    <row r="1" ht="15" customHeight="1" thickBot="1">
      <c r="A1" s="319" t="inlineStr">
        <is>
          <t>DECLARATION STATEMENT</t>
        </is>
      </c>
      <c r="B1" s="414" t="n"/>
      <c r="C1" s="414" t="n"/>
      <c r="D1" s="414" t="n"/>
      <c r="E1" s="414" t="n"/>
      <c r="F1" s="414" t="n"/>
      <c r="G1" s="414" t="n"/>
      <c r="H1" s="414" t="n"/>
      <c r="I1" s="415" t="n"/>
    </row>
    <row r="2">
      <c r="A2" s="416" t="n"/>
      <c r="B2" s="417" t="n"/>
      <c r="C2" s="417" t="n"/>
      <c r="D2" s="417" t="n"/>
      <c r="E2" s="417" t="n"/>
      <c r="F2" s="417" t="n"/>
      <c r="G2" s="417" t="n"/>
      <c r="H2" s="417" t="n"/>
      <c r="I2" s="418" t="n"/>
    </row>
    <row r="3">
      <c r="A3" s="322" t="inlineStr">
        <is>
          <t>Name of Contractor</t>
        </is>
      </c>
      <c r="B3" s="419" t="n"/>
      <c r="C3" s="420" t="inlineStr">
        <is>
          <t>DIGITCOM INDIA TECHNOLOGIES</t>
        </is>
      </c>
      <c r="D3" s="421" t="n"/>
      <c r="E3" s="421" t="n"/>
      <c r="F3" s="419" t="n"/>
      <c r="G3" s="422" t="n"/>
      <c r="H3" s="423" t="n"/>
      <c r="I3" s="424" t="n"/>
    </row>
    <row r="4">
      <c r="A4" s="425" t="inlineStr">
        <is>
          <t>Authorised Signatory</t>
        </is>
      </c>
      <c r="B4" s="426" t="n"/>
      <c r="C4" s="342" t="n"/>
      <c r="D4" s="423" t="n"/>
      <c r="E4" s="423" t="n"/>
      <c r="F4" s="426" t="n"/>
      <c r="G4" s="427" t="n"/>
      <c r="I4" s="398" t="n"/>
    </row>
    <row r="5">
      <c r="A5" s="399" t="n"/>
      <c r="B5" s="428" t="n"/>
      <c r="C5" s="427" t="n"/>
      <c r="F5" s="428" t="n"/>
      <c r="G5" s="427" t="n"/>
      <c r="I5" s="398" t="n"/>
    </row>
    <row r="6">
      <c r="A6" s="416" t="n"/>
      <c r="B6" s="429" t="n"/>
      <c r="C6" s="430" t="n"/>
      <c r="D6" s="417" t="n"/>
      <c r="E6" s="417" t="n"/>
      <c r="F6" s="429" t="n"/>
      <c r="G6" s="427" t="n"/>
      <c r="I6" s="398" t="n"/>
    </row>
    <row r="7">
      <c r="A7" s="425" t="inlineStr">
        <is>
          <t>Vendor Code</t>
        </is>
      </c>
      <c r="B7" s="419" t="n"/>
      <c r="C7" s="307" t="n">
        <v>3267708</v>
      </c>
      <c r="D7" s="421" t="n"/>
      <c r="E7" s="421" t="n"/>
      <c r="F7" s="419" t="n"/>
      <c r="G7" s="427" t="n"/>
      <c r="I7" s="398" t="n"/>
    </row>
    <row r="8">
      <c r="A8" s="322" t="inlineStr">
        <is>
          <t>Work Order No:</t>
        </is>
      </c>
      <c r="B8" s="419" t="n"/>
      <c r="C8" s="431" t="inlineStr">
        <is>
          <t>P14/630330726</t>
        </is>
      </c>
      <c r="D8" s="421" t="n"/>
      <c r="E8" s="421" t="n"/>
      <c r="F8" s="419" t="n"/>
      <c r="G8" s="430" t="n"/>
      <c r="H8" s="417" t="n"/>
      <c r="I8" s="432" t="n"/>
    </row>
    <row r="9">
      <c r="A9" s="322" t="inlineStr">
        <is>
          <t>SAP ID/WBS :</t>
        </is>
      </c>
      <c r="B9" s="419" t="n"/>
      <c r="C9" s="433" t="inlineStr">
        <is>
          <t xml:space="preserve">                            As per Annexture</t>
        </is>
      </c>
      <c r="D9" s="421" t="n"/>
      <c r="E9" s="421" t="n"/>
      <c r="F9" s="421" t="n"/>
      <c r="G9" s="421" t="n"/>
      <c r="H9" s="421" t="n"/>
      <c r="I9" s="434" t="n"/>
    </row>
    <row r="10">
      <c r="A10" s="322" t="inlineStr">
        <is>
          <t>Warehouse Location</t>
        </is>
      </c>
      <c r="B10" s="419" t="n"/>
      <c r="C10" s="435" t="inlineStr">
        <is>
          <t>JODHPUR</t>
        </is>
      </c>
      <c r="D10" s="421" t="n"/>
      <c r="E10" s="421" t="n"/>
      <c r="F10" s="421" t="n"/>
      <c r="G10" s="421" t="n"/>
      <c r="H10" s="421" t="n"/>
      <c r="I10" s="434" t="n"/>
    </row>
    <row r="11">
      <c r="A11" s="358" t="inlineStr">
        <is>
          <t>Declaration</t>
        </is>
      </c>
      <c r="B11" s="421" t="n"/>
      <c r="C11" s="421" t="n"/>
      <c r="D11" s="421" t="n"/>
      <c r="E11" s="421" t="n"/>
      <c r="F11" s="421" t="n"/>
      <c r="G11" s="421" t="n"/>
      <c r="H11" s="421" t="n"/>
      <c r="I11" s="436" t="n"/>
    </row>
    <row r="12">
      <c r="A12" s="437" t="inlineStr">
        <is>
          <t>We hereby certify that this Material Reconcilation Statement as on 30.03.2026  attached herein is certified and justified by Bills submited by Contractor  for given Work Done on given site as per Work Order Issued.</t>
        </is>
      </c>
      <c r="B12" s="423" t="n"/>
      <c r="C12" s="423" t="n"/>
      <c r="D12" s="423" t="n"/>
      <c r="E12" s="423" t="n"/>
      <c r="F12" s="423" t="n"/>
      <c r="G12" s="423" t="n"/>
      <c r="H12" s="423" t="n"/>
      <c r="I12" s="424" t="n"/>
    </row>
    <row r="13">
      <c r="A13" s="399" t="n"/>
      <c r="I13" s="398" t="n"/>
    </row>
    <row r="14">
      <c r="A14" s="416" t="n"/>
      <c r="B14" s="417" t="n"/>
      <c r="C14" s="417" t="n"/>
      <c r="D14" s="417" t="n"/>
      <c r="E14" s="417" t="n"/>
      <c r="F14" s="417" t="n"/>
      <c r="G14" s="417" t="n"/>
      <c r="H14" s="417" t="n"/>
      <c r="I14" s="432" t="n"/>
    </row>
    <row r="15">
      <c r="A15" s="294" t="n"/>
      <c r="B15" s="421" t="n"/>
      <c r="C15" s="421" t="n"/>
      <c r="D15" s="421" t="n"/>
      <c r="E15" s="421" t="n"/>
      <c r="F15" s="421" t="n"/>
      <c r="G15" s="421" t="n"/>
      <c r="H15" s="421" t="n"/>
      <c r="I15" s="436" t="n"/>
    </row>
    <row r="16">
      <c r="A16" s="297" t="inlineStr">
        <is>
          <t>22 SITES(A6)</t>
        </is>
      </c>
      <c r="B16" s="421" t="n"/>
      <c r="C16" s="421" t="n"/>
      <c r="D16" s="421" t="n"/>
      <c r="E16" s="421" t="n"/>
      <c r="F16" s="421" t="n"/>
      <c r="G16" s="421" t="n"/>
      <c r="H16" s="421" t="n"/>
      <c r="I16" s="436" t="n"/>
    </row>
    <row r="17">
      <c r="A17" s="300" t="n"/>
      <c r="B17" s="421" t="n"/>
      <c r="C17" s="421" t="n"/>
      <c r="D17" s="421" t="n"/>
      <c r="E17" s="421" t="n"/>
      <c r="F17" s="421" t="n"/>
      <c r="G17" s="421" t="n"/>
      <c r="H17" s="421" t="n"/>
      <c r="I17" s="436" t="n"/>
    </row>
    <row r="18">
      <c r="A18" s="74" t="n"/>
      <c r="B18" s="303" t="n"/>
      <c r="C18" s="421" t="n"/>
      <c r="D18" s="421" t="n"/>
      <c r="E18" s="421" t="n"/>
      <c r="F18" s="421" t="n"/>
      <c r="G18" s="421" t="n"/>
      <c r="H18" s="421" t="n"/>
      <c r="I18" s="436" t="n"/>
    </row>
    <row r="19">
      <c r="A19" s="305" t="inlineStr">
        <is>
          <t>Warehouse Incharge</t>
        </is>
      </c>
      <c r="B19" s="419" t="n"/>
      <c r="C19" s="307" t="inlineStr">
        <is>
          <t>Circle Project Head</t>
        </is>
      </c>
      <c r="D19" s="421" t="n"/>
      <c r="E19" s="419" t="n"/>
      <c r="F19" s="307" t="inlineStr">
        <is>
          <t>Contractor</t>
        </is>
      </c>
      <c r="G19" s="419" t="n"/>
      <c r="H19" s="308" t="inlineStr">
        <is>
          <t>Remark</t>
        </is>
      </c>
      <c r="I19" s="436" t="n"/>
    </row>
    <row r="20">
      <c r="A20" s="273" t="n"/>
      <c r="B20" s="426" t="n"/>
      <c r="C20" s="275" t="n"/>
      <c r="D20" s="423" t="n"/>
      <c r="E20" s="426" t="n"/>
      <c r="F20" s="276" t="n"/>
      <c r="G20" s="426" t="n"/>
      <c r="H20" s="438" t="n"/>
      <c r="I20" s="424" t="n"/>
    </row>
    <row r="21">
      <c r="A21" s="399" t="n"/>
      <c r="B21" s="428" t="n"/>
      <c r="C21" s="427" t="n"/>
      <c r="E21" s="428" t="n"/>
      <c r="G21" s="428" t="n"/>
      <c r="H21" s="427" t="n"/>
      <c r="I21" s="398" t="n"/>
    </row>
    <row r="22">
      <c r="A22" s="399" t="n"/>
      <c r="B22" s="428" t="n"/>
      <c r="C22" s="427" t="n"/>
      <c r="E22" s="428" t="n"/>
      <c r="G22" s="428" t="n"/>
      <c r="H22" s="427" t="n"/>
      <c r="I22" s="398" t="n"/>
      <c r="N22" s="75" t="n"/>
    </row>
    <row r="23" ht="43.2" customHeight="1">
      <c r="A23" s="416" t="n"/>
      <c r="B23" s="429" t="n"/>
      <c r="C23" s="430" t="n"/>
      <c r="D23" s="417" t="n"/>
      <c r="E23" s="429" t="n"/>
      <c r="F23" s="417" t="n"/>
      <c r="G23" s="429" t="n"/>
      <c r="H23" s="427" t="n"/>
      <c r="I23" s="398" t="n"/>
    </row>
    <row r="24" ht="28.2" customFormat="1" customHeight="1" s="88">
      <c r="A24" s="283" t="inlineStr">
        <is>
          <t>Checked By Material Coordinator</t>
        </is>
      </c>
      <c r="B24" s="419" t="n"/>
      <c r="C24" s="439" t="inlineStr">
        <is>
          <t>Through FC&amp;A</t>
        </is>
      </c>
      <c r="D24" s="421" t="n"/>
      <c r="E24" s="421" t="n"/>
      <c r="F24" s="421" t="n"/>
      <c r="G24" s="419" t="n"/>
      <c r="H24" s="427" t="n"/>
      <c r="I24" s="398" t="n"/>
    </row>
    <row r="25" ht="15" customHeight="1" thickBot="1">
      <c r="A25" s="288" t="n"/>
      <c r="B25" s="426" t="n"/>
      <c r="C25" s="292" t="n"/>
      <c r="D25" s="423" t="n"/>
      <c r="E25" s="423" t="n"/>
      <c r="F25" s="423" t="n"/>
      <c r="G25" s="426" t="n"/>
      <c r="H25" s="427" t="n"/>
      <c r="I25" s="398" t="n"/>
    </row>
    <row r="26" ht="15" customHeight="1" thickBot="1">
      <c r="A26" s="399" t="n"/>
      <c r="B26" s="428" t="n"/>
      <c r="C26" s="427" t="n"/>
      <c r="G26" s="428" t="n"/>
      <c r="H26" s="427" t="n"/>
      <c r="I26" s="398" t="n"/>
    </row>
    <row r="27" ht="15" customHeight="1" thickBot="1">
      <c r="A27" s="399" t="n"/>
      <c r="B27" s="428" t="n"/>
      <c r="C27" s="427" t="n"/>
      <c r="G27" s="428" t="n"/>
      <c r="H27" s="427" t="n"/>
      <c r="I27" s="398" t="n"/>
    </row>
    <row r="28" ht="15" customHeight="1" thickBot="1">
      <c r="A28" s="399" t="n"/>
      <c r="B28" s="428" t="n"/>
      <c r="C28" s="427" t="n"/>
      <c r="G28" s="428" t="n"/>
      <c r="H28" s="427" t="n"/>
      <c r="I28" s="398" t="n"/>
    </row>
    <row r="29" ht="25.2" customHeight="1" thickBot="1">
      <c r="A29" s="440" t="n"/>
      <c r="B29" s="441" t="n"/>
      <c r="C29" s="442" t="n"/>
      <c r="D29" s="443" t="n"/>
      <c r="E29" s="443" t="n"/>
      <c r="F29" s="443" t="n"/>
      <c r="G29" s="441" t="n"/>
      <c r="H29" s="444" t="n"/>
      <c r="I29" s="445" t="n"/>
    </row>
  </sheetData>
  <mergeCells count="32">
    <mergeCell ref="H20:I29"/>
    <mergeCell ref="A24:B24"/>
    <mergeCell ref="C8:F8"/>
    <mergeCell ref="F20:G23"/>
    <mergeCell ref="C24:G24"/>
    <mergeCell ref="F19:G19"/>
    <mergeCell ref="C7:F7"/>
    <mergeCell ref="B18:I18"/>
    <mergeCell ref="C3:F3"/>
    <mergeCell ref="A7:B7"/>
    <mergeCell ref="A20:B23"/>
    <mergeCell ref="A12:I14"/>
    <mergeCell ref="A17:I17"/>
    <mergeCell ref="A1:I2"/>
    <mergeCell ref="A3:B3"/>
    <mergeCell ref="C20:E23"/>
    <mergeCell ref="A25:B29"/>
    <mergeCell ref="C19:E19"/>
    <mergeCell ref="C25:G29"/>
    <mergeCell ref="H19:I19"/>
    <mergeCell ref="C10:I10"/>
    <mergeCell ref="A8:B8"/>
    <mergeCell ref="A15:I15"/>
    <mergeCell ref="C4:F6"/>
    <mergeCell ref="C9:I9"/>
    <mergeCell ref="A11:I11"/>
    <mergeCell ref="A19:B19"/>
    <mergeCell ref="A10:B10"/>
    <mergeCell ref="G3:I8"/>
    <mergeCell ref="A4:B6"/>
    <mergeCell ref="A9:B9"/>
    <mergeCell ref="A16:I16"/>
  </mergeCells>
  <pageMargins left="0.7" right="0.7" top="0.75" bottom="0.75" header="0.3" footer="0.3"/>
  <pageSetup orientation="landscape"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O33"/>
  <sheetViews>
    <sheetView tabSelected="1" workbookViewId="0">
      <selection activeCell="R10" sqref="R10"/>
    </sheetView>
  </sheetViews>
  <sheetFormatPr baseColWidth="8" defaultColWidth="5.6640625" defaultRowHeight="14.4"/>
  <cols>
    <col width="15.6640625" customWidth="1" min="1" max="1"/>
    <col width="35" customWidth="1" min="2" max="2"/>
    <col width="10.6640625" customWidth="1" min="3" max="10"/>
    <col width="9.33203125" customWidth="1" min="11" max="15"/>
  </cols>
  <sheetData>
    <row r="1" ht="15.6" customHeight="1">
      <c r="A1" s="361" t="inlineStr">
        <is>
          <t>Name of Contractor</t>
        </is>
      </c>
      <c r="B1" s="446" t="n"/>
      <c r="C1" s="363" t="inlineStr">
        <is>
          <t>DIGITCOM INDIA TECHNOLOGIES</t>
        </is>
      </c>
      <c r="D1" s="447" t="n"/>
      <c r="E1" s="447" t="n"/>
      <c r="F1" s="447" t="n"/>
      <c r="G1" s="447" t="n"/>
      <c r="H1" s="447" t="n"/>
      <c r="I1" s="447" t="n"/>
      <c r="J1" s="447" t="n"/>
      <c r="K1" s="384" t="inlineStr">
        <is>
          <t>R4G Project</t>
        </is>
      </c>
      <c r="L1" s="400" t="n"/>
      <c r="M1" s="400" t="n"/>
      <c r="N1" s="400" t="n"/>
      <c r="O1" s="448" t="n"/>
    </row>
    <row r="2" ht="15.6" customHeight="1">
      <c r="A2" s="369" t="inlineStr">
        <is>
          <t>WO No</t>
        </is>
      </c>
      <c r="B2" s="449" t="n"/>
      <c r="C2" s="371" t="inlineStr">
        <is>
          <t>P14/630330726</t>
        </is>
      </c>
      <c r="D2" s="450" t="n"/>
      <c r="E2" s="450" t="n"/>
      <c r="F2" s="450" t="n"/>
      <c r="G2" s="450" t="n"/>
      <c r="H2" s="450" t="n"/>
      <c r="I2" s="450" t="n"/>
      <c r="J2" s="450" t="n"/>
      <c r="K2" s="399" t="n"/>
      <c r="O2" s="451" t="n"/>
    </row>
    <row r="3" ht="15.6" customHeight="1">
      <c r="A3" s="369" t="inlineStr">
        <is>
          <t>Site ID</t>
        </is>
      </c>
      <c r="B3" s="449" t="n"/>
      <c r="C3" s="373" t="inlineStr">
        <is>
          <t>As per attached Detail</t>
        </is>
      </c>
      <c r="D3" s="450" t="n"/>
      <c r="E3" s="450" t="n"/>
      <c r="F3" s="450" t="n"/>
      <c r="G3" s="450" t="n"/>
      <c r="H3" s="450" t="n"/>
      <c r="I3" s="450" t="n"/>
      <c r="J3" s="450" t="n"/>
      <c r="K3" s="399" t="n"/>
      <c r="O3" s="451" t="n"/>
    </row>
    <row r="4" ht="15.6" customHeight="1">
      <c r="A4" s="369" t="inlineStr">
        <is>
          <t>WBS Code</t>
        </is>
      </c>
      <c r="B4" s="370" t="n"/>
      <c r="C4" s="373" t="inlineStr">
        <is>
          <t>As per attached Detail</t>
        </is>
      </c>
      <c r="D4" s="450" t="n"/>
      <c r="E4" s="450" t="n"/>
      <c r="F4" s="450" t="n"/>
      <c r="G4" s="450" t="n"/>
      <c r="H4" s="450" t="n"/>
      <c r="I4" s="450" t="n"/>
      <c r="J4" s="450" t="n"/>
      <c r="K4" s="399" t="n"/>
      <c r="O4" s="451" t="n"/>
    </row>
    <row r="5" ht="15.6" customHeight="1">
      <c r="A5" s="369" t="inlineStr">
        <is>
          <t>Site Name</t>
        </is>
      </c>
      <c r="B5" s="449" t="n"/>
      <c r="C5" s="373" t="inlineStr">
        <is>
          <t>As per attached Detail</t>
        </is>
      </c>
      <c r="D5" s="450" t="n"/>
      <c r="E5" s="450" t="n"/>
      <c r="F5" s="450" t="n"/>
      <c r="G5" s="450" t="n"/>
      <c r="H5" s="450" t="n"/>
      <c r="I5" s="450" t="n"/>
      <c r="J5" s="450" t="n"/>
      <c r="K5" s="399" t="n"/>
      <c r="O5" s="451" t="n"/>
    </row>
    <row r="6" ht="15.6" customHeight="1">
      <c r="A6" s="369" t="inlineStr">
        <is>
          <t>Warehouse Location</t>
        </is>
      </c>
      <c r="B6" s="449" t="n"/>
      <c r="C6" s="373" t="inlineStr">
        <is>
          <t>JODHPUR</t>
        </is>
      </c>
      <c r="D6" s="450" t="n"/>
      <c r="E6" s="450" t="n"/>
      <c r="F6" s="450" t="n"/>
      <c r="G6" s="450" t="n"/>
      <c r="H6" s="450" t="n"/>
      <c r="I6" s="450" t="n"/>
      <c r="J6" s="450" t="n"/>
      <c r="K6" s="399" t="n"/>
      <c r="O6" s="451" t="n"/>
    </row>
    <row r="7" ht="16.2" customHeight="1" thickBot="1">
      <c r="A7" s="369" t="inlineStr">
        <is>
          <t>Time Period</t>
        </is>
      </c>
      <c r="B7" s="449" t="n"/>
      <c r="C7" s="377" t="inlineStr">
        <is>
          <t>30-JAN-26 TO 04-FEB-26</t>
        </is>
      </c>
      <c r="D7" s="450" t="n"/>
      <c r="E7" s="450" t="n"/>
      <c r="F7" s="450" t="n"/>
      <c r="G7" s="450" t="n"/>
      <c r="H7" s="450" t="n"/>
      <c r="I7" s="450" t="n"/>
      <c r="J7" s="450" t="n"/>
      <c r="K7" s="452" t="n"/>
      <c r="L7" s="453" t="n"/>
      <c r="M7" s="453" t="n"/>
      <c r="N7" s="453" t="n"/>
      <c r="O7" s="454" t="n"/>
    </row>
    <row r="8" ht="15.6" customHeight="1">
      <c r="A8" s="379" t="inlineStr">
        <is>
          <t>Material Reconciliation Statement</t>
        </is>
      </c>
      <c r="B8" s="450" t="n"/>
      <c r="C8" s="450" t="n"/>
      <c r="D8" s="450" t="n"/>
      <c r="E8" s="450" t="n"/>
      <c r="F8" s="450" t="n"/>
      <c r="G8" s="450" t="n"/>
      <c r="H8" s="450" t="n"/>
      <c r="I8" s="450" t="n"/>
      <c r="J8" s="449" t="n"/>
      <c r="K8" s="382" t="n"/>
      <c r="L8" s="453" t="n"/>
      <c r="M8" s="453" t="n"/>
      <c r="N8" s="453" t="n"/>
      <c r="O8" s="454" t="n"/>
    </row>
    <row r="9" ht="15.6" customHeight="1">
      <c r="A9" s="212" t="n"/>
      <c r="B9" s="93" t="n"/>
      <c r="C9" s="375" t="n"/>
      <c r="D9" s="375" t="n"/>
      <c r="E9" s="375" t="n"/>
      <c r="F9" s="375" t="n"/>
      <c r="G9" s="375" t="n"/>
      <c r="H9" s="375" t="n"/>
      <c r="I9" s="375" t="n"/>
      <c r="J9" s="375" t="n"/>
      <c r="K9" s="375" t="n"/>
      <c r="L9" s="450" t="n"/>
      <c r="M9" s="450" t="n"/>
      <c r="N9" s="450" t="n"/>
      <c r="O9" s="449" t="n"/>
    </row>
    <row r="10" ht="52.95" customHeight="1">
      <c r="A10" s="94" t="n"/>
      <c r="B10" s="95" t="inlineStr">
        <is>
          <t>Material Description</t>
        </is>
      </c>
      <c r="C10" s="134" t="inlineStr">
        <is>
          <t>A6 FIXED WIRELESS WI-FI ACCESS POINT</t>
        </is>
      </c>
      <c r="D10" s="134" t="inlineStr">
        <is>
          <t xml:space="preserve"> Fiber Patchcord MM 5M</t>
        </is>
      </c>
      <c r="E10" s="134" t="inlineStr">
        <is>
          <t>CPRI CABLE 50 MTR - (MULTIMODE)</t>
        </is>
      </c>
      <c r="F10" s="134" t="inlineStr">
        <is>
          <t>EARTHING CLAMP</t>
        </is>
      </c>
      <c r="G10" s="134" t="inlineStr">
        <is>
          <t>SFP MULTIMODE 1G 10 KM</t>
        </is>
      </c>
      <c r="H10" s="134" t="inlineStr">
        <is>
          <t>SFP MULTIMODE 1G 10 KM</t>
        </is>
      </c>
      <c r="I10" s="134" t="inlineStr">
        <is>
          <t>SFP MULTIMODE 1G 10 KM</t>
        </is>
      </c>
      <c r="J10" s="134" t="inlineStr">
        <is>
          <t xml:space="preserve">SFP MULTIMODE 10G </t>
        </is>
      </c>
      <c r="K10" s="134" t="inlineStr">
        <is>
          <t>MOUNTING BRACKET</t>
        </is>
      </c>
      <c r="L10" s="134" t="inlineStr">
        <is>
          <t>MOUNTING BRACKET</t>
        </is>
      </c>
      <c r="M10" s="134" t="inlineStr">
        <is>
          <t>INSTALLATION IRM KIT</t>
        </is>
      </c>
      <c r="N10" s="134" t="inlineStr">
        <is>
          <t>INSTALLATION IRM KIT</t>
        </is>
      </c>
      <c r="O10" s="389" t="inlineStr">
        <is>
          <t>POWR CABLE 50 MTR</t>
        </is>
      </c>
    </row>
    <row r="11" ht="15.6" customHeight="1">
      <c r="A11" s="94" t="n"/>
      <c r="B11" s="367" t="inlineStr">
        <is>
          <t>Material Code</t>
        </is>
      </c>
      <c r="C11" s="134" t="n">
        <v>2002495907</v>
      </c>
      <c r="D11" s="134" t="n">
        <v>2002503216</v>
      </c>
      <c r="E11" s="134" t="n">
        <v>2002334231</v>
      </c>
      <c r="F11" s="152" t="n">
        <v>2002269100</v>
      </c>
      <c r="G11" s="134" t="n">
        <v>2002668786</v>
      </c>
      <c r="H11" s="134" t="n">
        <v>2001649259</v>
      </c>
      <c r="I11" s="134" t="n">
        <v>9500172828</v>
      </c>
      <c r="J11" s="134" t="n">
        <v>2002668758</v>
      </c>
      <c r="K11" s="134" t="n">
        <v>2002677184</v>
      </c>
      <c r="L11" s="134" t="n">
        <v>2002669131</v>
      </c>
      <c r="M11" s="134" t="n">
        <v>2002456956</v>
      </c>
      <c r="N11" s="134" t="n">
        <v>2002475640</v>
      </c>
      <c r="O11" s="389" t="n">
        <v>2002462695</v>
      </c>
    </row>
    <row r="12" ht="31.2" customHeight="1">
      <c r="A12" s="96" t="inlineStr">
        <is>
          <t>A.</t>
        </is>
      </c>
      <c r="B12" s="95" t="inlineStr">
        <is>
          <t>Receipt details as confirmed by Contractor:</t>
        </is>
      </c>
      <c r="C12" s="97" t="n"/>
      <c r="D12" s="97" t="n"/>
      <c r="E12" s="151" t="n"/>
      <c r="F12" s="151" t="n"/>
      <c r="G12" s="97" t="n"/>
      <c r="H12" s="97" t="n"/>
      <c r="I12" s="97" t="n"/>
      <c r="J12" s="97" t="n"/>
      <c r="K12" s="97" t="n"/>
      <c r="L12" s="97" t="n"/>
      <c r="M12" s="97" t="n"/>
      <c r="N12" s="97" t="n"/>
      <c r="O12" s="390" t="n"/>
    </row>
    <row r="13" ht="15.6" customHeight="1">
      <c r="A13" s="98" t="n"/>
      <c r="B13" s="99" t="n"/>
      <c r="C13" s="100" t="n"/>
      <c r="D13" s="100" t="n"/>
      <c r="E13" s="100" t="n"/>
      <c r="F13" s="100" t="n"/>
      <c r="G13" s="100" t="n"/>
      <c r="H13" s="100" t="n"/>
      <c r="I13" s="100" t="n"/>
      <c r="J13" s="100" t="n"/>
      <c r="K13" s="100" t="n"/>
      <c r="L13" s="100" t="n"/>
      <c r="M13" s="100" t="n"/>
      <c r="N13" s="100" t="n"/>
      <c r="O13" s="391" t="n"/>
    </row>
    <row r="14" ht="15.6" customHeight="1">
      <c r="A14" s="98" t="n">
        <v>1</v>
      </c>
      <c r="B14" s="99" t="inlineStr">
        <is>
          <t>Received directly from Warehouse</t>
        </is>
      </c>
      <c r="C14" s="213" t="n">
        <v>26</v>
      </c>
      <c r="D14" s="213" t="n">
        <v>18</v>
      </c>
      <c r="E14" s="213" t="n">
        <v>8</v>
      </c>
      <c r="F14" s="213" t="n">
        <v>1</v>
      </c>
      <c r="G14" s="213" t="n">
        <v>8</v>
      </c>
      <c r="H14" s="213" t="n">
        <v>2</v>
      </c>
      <c r="I14" s="213" t="n">
        <v>2</v>
      </c>
      <c r="J14" s="213" t="n">
        <v>40</v>
      </c>
      <c r="K14" s="213" t="n">
        <v>25</v>
      </c>
      <c r="L14" s="213" t="n">
        <v>1</v>
      </c>
      <c r="M14" s="213" t="n">
        <v>2</v>
      </c>
      <c r="N14" s="213" t="n">
        <v>24</v>
      </c>
      <c r="O14" s="392" t="n">
        <v>26</v>
      </c>
    </row>
    <row r="15" ht="15.6" customHeight="1">
      <c r="A15" s="98" t="n"/>
      <c r="B15" s="99" t="n"/>
      <c r="C15" s="154" t="n"/>
      <c r="D15" s="154" t="n"/>
      <c r="E15" s="154" t="n"/>
      <c r="F15" s="154" t="n"/>
      <c r="G15" s="154" t="n"/>
      <c r="H15" s="154" t="n"/>
      <c r="I15" s="154" t="n"/>
      <c r="J15" s="154" t="n"/>
      <c r="K15" s="154" t="n"/>
      <c r="L15" s="154" t="n"/>
      <c r="M15" s="154" t="n"/>
      <c r="N15" s="154" t="n"/>
      <c r="O15" s="393" t="n"/>
    </row>
    <row r="16" ht="31.2" customHeight="1">
      <c r="A16" s="98" t="n">
        <v>2</v>
      </c>
      <c r="B16" s="99" t="inlineStr">
        <is>
          <t>Material received from other contractors</t>
        </is>
      </c>
      <c r="C16" s="153" t="n">
        <v>0</v>
      </c>
      <c r="D16" s="153" t="n">
        <v>0</v>
      </c>
      <c r="E16" s="153" t="n">
        <v>0</v>
      </c>
      <c r="F16" s="153" t="n">
        <v>0</v>
      </c>
      <c r="G16" s="153" t="n">
        <v>0</v>
      </c>
      <c r="H16" s="153" t="n">
        <v>0</v>
      </c>
      <c r="I16" s="153" t="n">
        <v>0</v>
      </c>
      <c r="J16" s="153" t="n">
        <v>0</v>
      </c>
      <c r="K16" s="153" t="n">
        <v>0</v>
      </c>
      <c r="L16" s="153" t="n">
        <v>0</v>
      </c>
      <c r="M16" s="153" t="n">
        <v>0</v>
      </c>
      <c r="N16" s="153" t="n">
        <v>0</v>
      </c>
      <c r="O16" s="394" t="n">
        <v>0</v>
      </c>
    </row>
    <row r="17" ht="15.6" customHeight="1">
      <c r="A17" s="98" t="n"/>
      <c r="B17" s="95" t="n"/>
      <c r="C17" s="153" t="n"/>
      <c r="D17" s="153" t="n"/>
      <c r="E17" s="153" t="n"/>
      <c r="F17" s="153" t="n"/>
      <c r="G17" s="153" t="n"/>
      <c r="H17" s="153" t="n"/>
      <c r="I17" s="153" t="n"/>
      <c r="J17" s="153" t="n"/>
      <c r="K17" s="153" t="n"/>
      <c r="L17" s="153" t="n"/>
      <c r="M17" s="153" t="n"/>
      <c r="N17" s="153" t="n"/>
      <c r="O17" s="394" t="n"/>
    </row>
    <row r="18" ht="15.6" customHeight="1">
      <c r="A18" s="101" t="n"/>
      <c r="B18" s="102" t="inlineStr">
        <is>
          <t>Total   (1+2)</t>
        </is>
      </c>
      <c r="C18" s="97">
        <f>C14+C16</f>
        <v/>
      </c>
      <c r="D18" s="97">
        <f>D14+D16</f>
        <v/>
      </c>
      <c r="E18" s="97">
        <f>E14+E16</f>
        <v/>
      </c>
      <c r="F18" s="97">
        <f>F14+F16</f>
        <v/>
      </c>
      <c r="G18" s="97">
        <f>G14+G16</f>
        <v/>
      </c>
      <c r="H18" s="97">
        <f>H14+H16</f>
        <v/>
      </c>
      <c r="I18" s="97">
        <f>I14+I16</f>
        <v/>
      </c>
      <c r="J18" s="97">
        <f>J14+J16</f>
        <v/>
      </c>
      <c r="K18" s="97">
        <f>K14+K16</f>
        <v/>
      </c>
      <c r="L18" s="97">
        <f>L14+L16</f>
        <v/>
      </c>
      <c r="M18" s="97">
        <f>M14+M16</f>
        <v/>
      </c>
      <c r="N18" s="97">
        <f>N14+N16</f>
        <v/>
      </c>
      <c r="O18" s="390">
        <f>O14+O16</f>
        <v/>
      </c>
    </row>
    <row r="19" ht="15.6" customHeight="1">
      <c r="A19" s="103" t="n"/>
      <c r="B19" s="104" t="n"/>
      <c r="C19" s="155" t="n"/>
      <c r="D19" s="155" t="n"/>
      <c r="E19" s="155" t="n"/>
      <c r="F19" s="155" t="n"/>
      <c r="G19" s="155" t="n"/>
      <c r="H19" s="155" t="n"/>
      <c r="I19" s="155" t="n"/>
      <c r="J19" s="155" t="n"/>
      <c r="K19" s="155" t="n"/>
      <c r="L19" s="155" t="n"/>
      <c r="M19" s="155" t="n"/>
      <c r="N19" s="155" t="n"/>
      <c r="O19" s="395" t="n"/>
    </row>
    <row r="20" ht="46.8" customHeight="1">
      <c r="A20" s="96" t="inlineStr">
        <is>
          <t>B.</t>
        </is>
      </c>
      <c r="B20" s="95" t="inlineStr">
        <is>
          <t>Material Transferred to other contractors / returned to Warehouse</t>
        </is>
      </c>
      <c r="C20" s="155" t="n">
        <v>0</v>
      </c>
      <c r="D20" s="155" t="n">
        <v>0</v>
      </c>
      <c r="E20" s="155" t="n">
        <v>0</v>
      </c>
      <c r="F20" s="153" t="n">
        <v>0</v>
      </c>
      <c r="G20" s="155" t="n">
        <v>0</v>
      </c>
      <c r="H20" s="155" t="n">
        <v>0</v>
      </c>
      <c r="I20" s="155" t="n">
        <v>0</v>
      </c>
      <c r="J20" s="155" t="n">
        <v>0</v>
      </c>
      <c r="K20" s="155" t="n">
        <v>0</v>
      </c>
      <c r="L20" s="155" t="n">
        <v>0</v>
      </c>
      <c r="M20" s="155" t="n">
        <v>0</v>
      </c>
      <c r="N20" s="155" t="n">
        <v>0</v>
      </c>
      <c r="O20" s="395" t="n">
        <v>0</v>
      </c>
    </row>
    <row r="21" ht="31.2" customHeight="1">
      <c r="A21" s="98" t="n">
        <v>1</v>
      </c>
      <c r="B21" s="99" t="inlineStr">
        <is>
          <t>Material Transferred to other contractors</t>
        </is>
      </c>
      <c r="C21" s="153" t="n">
        <v>0</v>
      </c>
      <c r="D21" s="153" t="n">
        <v>0</v>
      </c>
      <c r="E21" s="153" t="n">
        <v>0</v>
      </c>
      <c r="F21" s="153" t="n">
        <v>0</v>
      </c>
      <c r="G21" s="153" t="n">
        <v>0</v>
      </c>
      <c r="H21" s="153" t="n">
        <v>0</v>
      </c>
      <c r="I21" s="153" t="n">
        <v>0</v>
      </c>
      <c r="J21" s="153" t="n">
        <v>0</v>
      </c>
      <c r="K21" s="153" t="n">
        <v>0</v>
      </c>
      <c r="L21" s="153" t="n">
        <v>0</v>
      </c>
      <c r="M21" s="153" t="n">
        <v>0</v>
      </c>
      <c r="N21" s="153" t="n">
        <v>0</v>
      </c>
      <c r="O21" s="394" t="n">
        <v>0</v>
      </c>
    </row>
    <row r="22" ht="31.2" customHeight="1">
      <c r="A22" s="98" t="n">
        <v>2</v>
      </c>
      <c r="B22" s="99" t="inlineStr">
        <is>
          <t>Material Returned to Warehouse (in line with MRN Guidelines)</t>
        </is>
      </c>
      <c r="C22" s="153" t="n">
        <v>0</v>
      </c>
      <c r="D22" s="153" t="n">
        <v>0</v>
      </c>
      <c r="E22" s="153" t="n">
        <v>0</v>
      </c>
      <c r="F22" s="153" t="n">
        <v>0</v>
      </c>
      <c r="G22" s="153" t="n">
        <v>0</v>
      </c>
      <c r="H22" s="153" t="n">
        <v>0</v>
      </c>
      <c r="I22" s="153" t="n">
        <v>0</v>
      </c>
      <c r="J22" s="153" t="n">
        <v>0</v>
      </c>
      <c r="K22" s="153" t="n">
        <v>0</v>
      </c>
      <c r="L22" s="153" t="n">
        <v>0</v>
      </c>
      <c r="M22" s="153" t="n">
        <v>0</v>
      </c>
      <c r="N22" s="153" t="n">
        <v>0</v>
      </c>
      <c r="O22" s="394" t="n">
        <v>0</v>
      </c>
    </row>
    <row r="23" ht="15.6" customHeight="1">
      <c r="A23" s="105" t="n"/>
      <c r="B23" s="106" t="inlineStr">
        <is>
          <t>Total</t>
        </is>
      </c>
      <c r="C23" s="153">
        <f>SUM(C20:C22)</f>
        <v/>
      </c>
      <c r="D23" s="153">
        <f>SUM(D20:D22)</f>
        <v/>
      </c>
      <c r="E23" s="153">
        <f>SUM(E20:E22)</f>
        <v/>
      </c>
      <c r="F23" s="153">
        <f>SUM(F20:F22)</f>
        <v/>
      </c>
      <c r="G23" s="153">
        <f>SUM(G20:G22)</f>
        <v/>
      </c>
      <c r="H23" s="153">
        <f>SUM(H20:H22)</f>
        <v/>
      </c>
      <c r="I23" s="153">
        <f>SUM(I20:I22)</f>
        <v/>
      </c>
      <c r="J23" s="153">
        <f>SUM(J20:J22)</f>
        <v/>
      </c>
      <c r="K23" s="153">
        <f>SUM(K20:K22)</f>
        <v/>
      </c>
      <c r="L23" s="153">
        <f>SUM(L20:L22)</f>
        <v/>
      </c>
      <c r="M23" s="153">
        <f>SUM(M20:M22)</f>
        <v/>
      </c>
      <c r="N23" s="153">
        <f>SUM(N20:N22)</f>
        <v/>
      </c>
      <c r="O23" s="394">
        <f>SUM(O20:O22)</f>
        <v/>
      </c>
    </row>
    <row r="24" ht="15.6" customHeight="1">
      <c r="A24" s="107" t="n"/>
      <c r="B24" s="108" t="n"/>
      <c r="C24" s="155" t="n"/>
      <c r="D24" s="155" t="n"/>
      <c r="E24" s="155" t="n"/>
      <c r="F24" s="155" t="n"/>
      <c r="G24" s="155" t="n"/>
      <c r="H24" s="155" t="n"/>
      <c r="I24" s="155" t="n"/>
      <c r="J24" s="155" t="n"/>
      <c r="K24" s="155" t="n"/>
      <c r="L24" s="155" t="n"/>
      <c r="M24" s="155" t="n"/>
      <c r="N24" s="155" t="n"/>
      <c r="O24" s="395" t="n"/>
    </row>
    <row r="25" ht="15.6" customHeight="1">
      <c r="A25" s="96" t="inlineStr">
        <is>
          <t>C</t>
        </is>
      </c>
      <c r="B25" s="95" t="inlineStr">
        <is>
          <t>Balance ( A  -  B )</t>
        </is>
      </c>
      <c r="C25" s="155">
        <f>C18-C23</f>
        <v/>
      </c>
      <c r="D25" s="155">
        <f>D18-D23</f>
        <v/>
      </c>
      <c r="E25" s="155">
        <f>E18-E23</f>
        <v/>
      </c>
      <c r="F25" s="155">
        <f>F18-F23</f>
        <v/>
      </c>
      <c r="G25" s="155">
        <f>G18-G23</f>
        <v/>
      </c>
      <c r="H25" s="155">
        <f>H18-H23</f>
        <v/>
      </c>
      <c r="I25" s="155">
        <f>I18-I23</f>
        <v/>
      </c>
      <c r="J25" s="155">
        <f>J18-J23</f>
        <v/>
      </c>
      <c r="K25" s="155">
        <f>K18-K23</f>
        <v/>
      </c>
      <c r="L25" s="155">
        <f>L18-L23</f>
        <v/>
      </c>
      <c r="M25" s="155">
        <f>M18-M23</f>
        <v/>
      </c>
      <c r="N25" s="155">
        <f>N18-N23</f>
        <v/>
      </c>
      <c r="O25" s="395">
        <f>O18-O23</f>
        <v/>
      </c>
    </row>
    <row r="26" ht="15.6" customHeight="1">
      <c r="A26" s="107" t="n"/>
      <c r="B26" s="108" t="n"/>
      <c r="C26" s="155" t="n"/>
      <c r="D26" s="155" t="n"/>
      <c r="E26" s="155" t="n"/>
      <c r="F26" s="155" t="n"/>
      <c r="G26" s="155" t="n"/>
      <c r="H26" s="155" t="n"/>
      <c r="I26" s="155" t="n"/>
      <c r="J26" s="155" t="n"/>
      <c r="K26" s="155" t="n"/>
      <c r="L26" s="155" t="n"/>
      <c r="M26" s="155" t="n"/>
      <c r="N26" s="155" t="n"/>
      <c r="O26" s="395" t="n"/>
    </row>
    <row r="27" ht="15.6" customHeight="1">
      <c r="A27" s="96" t="inlineStr">
        <is>
          <t>D</t>
        </is>
      </c>
      <c r="B27" s="95" t="inlineStr">
        <is>
          <t>CONSUMPTION</t>
        </is>
      </c>
      <c r="C27" s="155" t="n"/>
      <c r="D27" s="155" t="n"/>
      <c r="E27" s="155" t="n"/>
      <c r="F27" s="155" t="n"/>
      <c r="G27" s="155" t="n"/>
      <c r="H27" s="155" t="n"/>
      <c r="I27" s="155" t="n"/>
      <c r="J27" s="155" t="n"/>
      <c r="K27" s="155" t="n"/>
      <c r="L27" s="155" t="n"/>
      <c r="M27" s="155" t="n"/>
      <c r="N27" s="155" t="n"/>
      <c r="O27" s="395" t="n"/>
    </row>
    <row r="28" ht="15.6" customHeight="1">
      <c r="A28" s="109" t="n">
        <v>1</v>
      </c>
      <c r="B28" s="110" t="inlineStr">
        <is>
          <t>Material Consumed</t>
        </is>
      </c>
      <c r="C28" s="97">
        <f>C25</f>
        <v/>
      </c>
      <c r="D28" s="97">
        <f>D25</f>
        <v/>
      </c>
      <c r="E28" s="97">
        <f>E25</f>
        <v/>
      </c>
      <c r="F28" s="153" t="n">
        <v>5</v>
      </c>
      <c r="G28" s="97">
        <f>G25</f>
        <v/>
      </c>
      <c r="H28" s="97">
        <f>H25</f>
        <v/>
      </c>
      <c r="I28" s="97">
        <f>I25</f>
        <v/>
      </c>
      <c r="J28" s="97">
        <f>J25</f>
        <v/>
      </c>
      <c r="K28" s="97">
        <f>K25</f>
        <v/>
      </c>
      <c r="L28" s="97">
        <f>L25</f>
        <v/>
      </c>
      <c r="M28" s="97">
        <f>M25</f>
        <v/>
      </c>
      <c r="N28" s="97">
        <f>N25</f>
        <v/>
      </c>
      <c r="O28" s="390">
        <f>O25</f>
        <v/>
      </c>
    </row>
    <row r="29" ht="15.6" customHeight="1">
      <c r="A29" s="98" t="n">
        <v>2</v>
      </c>
      <c r="B29" s="99" t="inlineStr">
        <is>
          <t>Wastage (max as per WO norms)</t>
        </is>
      </c>
      <c r="C29" s="153" t="n">
        <v>0</v>
      </c>
      <c r="D29" s="153" t="n">
        <v>0</v>
      </c>
      <c r="E29" s="153" t="n">
        <v>0</v>
      </c>
      <c r="F29" s="153" t="n">
        <v>0</v>
      </c>
      <c r="G29" s="153" t="n">
        <v>0</v>
      </c>
      <c r="H29" s="153" t="n">
        <v>0</v>
      </c>
      <c r="I29" s="153" t="n">
        <v>0</v>
      </c>
      <c r="J29" s="153" t="n">
        <v>0</v>
      </c>
      <c r="K29" s="153" t="n">
        <v>0</v>
      </c>
      <c r="L29" s="153" t="n">
        <v>0</v>
      </c>
      <c r="M29" s="153" t="n">
        <v>0</v>
      </c>
      <c r="N29" s="153" t="n">
        <v>0</v>
      </c>
      <c r="O29" s="394" t="n">
        <v>0</v>
      </c>
    </row>
    <row r="30" ht="15.6" customHeight="1">
      <c r="A30" s="98" t="n"/>
      <c r="B30" s="99" t="n"/>
      <c r="C30" s="155" t="n"/>
      <c r="D30" s="155" t="n"/>
      <c r="E30" s="155" t="n"/>
      <c r="F30" s="155" t="n"/>
      <c r="G30" s="155" t="n"/>
      <c r="H30" s="155" t="n"/>
      <c r="I30" s="155" t="n"/>
      <c r="J30" s="155" t="n"/>
      <c r="K30" s="155" t="n"/>
      <c r="L30" s="155" t="n"/>
      <c r="M30" s="155" t="n"/>
      <c r="N30" s="155" t="n"/>
      <c r="O30" s="395" t="n"/>
    </row>
    <row r="31" ht="15.6" customHeight="1">
      <c r="A31" s="111" t="n"/>
      <c r="B31" s="112" t="inlineStr">
        <is>
          <t>Total -Actual consumption (1+2)</t>
        </is>
      </c>
      <c r="C31" s="97">
        <f>C28+C29</f>
        <v/>
      </c>
      <c r="D31" s="97">
        <f>D28+D29</f>
        <v/>
      </c>
      <c r="E31" s="97">
        <f>E28+E29</f>
        <v/>
      </c>
      <c r="F31" s="153" t="n">
        <v>5</v>
      </c>
      <c r="G31" s="97">
        <f>G28+G29</f>
        <v/>
      </c>
      <c r="H31" s="97">
        <f>H28+H29</f>
        <v/>
      </c>
      <c r="I31" s="97">
        <f>I28+I29</f>
        <v/>
      </c>
      <c r="J31" s="97">
        <f>J28+J29</f>
        <v/>
      </c>
      <c r="K31" s="97">
        <f>K28+K29</f>
        <v/>
      </c>
      <c r="L31" s="97">
        <f>L28+L29</f>
        <v/>
      </c>
      <c r="M31" s="97">
        <f>M28+M29</f>
        <v/>
      </c>
      <c r="N31" s="97">
        <f>N28+N29</f>
        <v/>
      </c>
      <c r="O31" s="390">
        <f>O28+O29</f>
        <v/>
      </c>
    </row>
    <row r="32" ht="15.6" customHeight="1">
      <c r="A32" s="107" t="n"/>
      <c r="B32" s="113" t="n"/>
      <c r="C32" s="155" t="n"/>
      <c r="D32" s="155" t="n"/>
      <c r="E32" s="155" t="n"/>
      <c r="F32" s="155" t="n"/>
      <c r="G32" s="155" t="n"/>
      <c r="H32" s="155" t="n"/>
      <c r="I32" s="155" t="n"/>
      <c r="J32" s="155" t="n"/>
      <c r="K32" s="155" t="n"/>
      <c r="L32" s="155" t="n"/>
      <c r="M32" s="155" t="n"/>
      <c r="N32" s="155" t="n"/>
      <c r="O32" s="395" t="n"/>
    </row>
    <row r="33" ht="47.4" customHeight="1" thickBot="1">
      <c r="A33" s="114" t="inlineStr">
        <is>
          <t>E.</t>
        </is>
      </c>
      <c r="B33" s="115" t="inlineStr">
        <is>
          <t xml:space="preserve">Excess consumption for which cost to be recovered from the Contractor (C-D) </t>
        </is>
      </c>
      <c r="C33" s="156" t="n">
        <v>0</v>
      </c>
      <c r="D33" s="156" t="n">
        <v>0</v>
      </c>
      <c r="E33" s="156" t="n">
        <v>0</v>
      </c>
      <c r="F33" s="156" t="n">
        <v>0</v>
      </c>
      <c r="G33" s="156" t="n">
        <v>0</v>
      </c>
      <c r="H33" s="156" t="n">
        <v>0</v>
      </c>
      <c r="I33" s="156" t="n">
        <v>0</v>
      </c>
      <c r="J33" s="156" t="n">
        <v>0</v>
      </c>
      <c r="K33" s="156" t="n">
        <v>0</v>
      </c>
      <c r="L33" s="156" t="n">
        <v>0</v>
      </c>
      <c r="M33" s="156" t="n">
        <v>0</v>
      </c>
      <c r="N33" s="156" t="n">
        <v>0</v>
      </c>
      <c r="O33" s="396" t="n">
        <v>0</v>
      </c>
    </row>
  </sheetData>
  <mergeCells count="17">
    <mergeCell ref="C4:J4"/>
    <mergeCell ref="C3:J3"/>
    <mergeCell ref="A2:B2"/>
    <mergeCell ref="A8:J8"/>
    <mergeCell ref="C7:J7"/>
    <mergeCell ref="A7:B7"/>
    <mergeCell ref="C1:J1"/>
    <mergeCell ref="C6:J6"/>
    <mergeCell ref="K8:O8"/>
    <mergeCell ref="C2:J2"/>
    <mergeCell ref="A5:B5"/>
    <mergeCell ref="K9:O9"/>
    <mergeCell ref="A1:B1"/>
    <mergeCell ref="C5:J5"/>
    <mergeCell ref="K1:O7"/>
    <mergeCell ref="A3:B3"/>
    <mergeCell ref="A6:B6"/>
  </mergeCells>
  <pageMargins left="0.2" right="0.2" top="0.5" bottom="0.25" header="0.3" footer="0.3"/>
  <pageSetup orientation="landscape" paperSize="9" scale="59"/>
</worksheet>
</file>

<file path=xl/worksheets/sheet8.xml><?xml version="1.0" encoding="utf-8"?>
<worksheet xmlns="http://schemas.openxmlformats.org/spreadsheetml/2006/main">
  <sheetPr>
    <outlinePr summaryBelow="1" summaryRight="1"/>
    <pageSetUpPr fitToPage="1"/>
  </sheetPr>
  <dimension ref="A1:Z17"/>
  <sheetViews>
    <sheetView topLeftCell="A4" zoomScale="54" zoomScaleNormal="54" workbookViewId="0">
      <selection activeCell="Y14" sqref="Y14:Y15"/>
    </sheetView>
  </sheetViews>
  <sheetFormatPr baseColWidth="8" defaultColWidth="9.33203125" defaultRowHeight="14.4"/>
  <cols>
    <col width="30.109375" customWidth="1" min="1" max="1"/>
    <col width="9.44140625" customWidth="1" min="2" max="23"/>
    <col width="11.44140625" customWidth="1" min="24" max="24"/>
    <col width="16.33203125" customWidth="1" min="25" max="25"/>
    <col width="79" customWidth="1" min="26" max="26"/>
    <col width="9.33203125" customWidth="1" min="27" max="27"/>
  </cols>
  <sheetData>
    <row r="1" ht="46.8" customHeight="1" thickBot="1">
      <c r="A1" s="381" t="inlineStr">
        <is>
          <t>Annexture</t>
        </is>
      </c>
      <c r="B1" s="405" t="n"/>
      <c r="C1" s="405" t="n"/>
      <c r="D1" s="405" t="n"/>
      <c r="E1" s="405" t="n"/>
      <c r="F1" s="405" t="n"/>
      <c r="G1" s="405" t="n"/>
      <c r="H1" s="405" t="n"/>
      <c r="I1" s="405" t="n"/>
      <c r="J1" s="405" t="n"/>
      <c r="K1" s="405" t="n"/>
      <c r="L1" s="405" t="n"/>
      <c r="M1" s="405" t="n"/>
      <c r="N1" s="405" t="n"/>
      <c r="O1" s="405" t="n"/>
      <c r="P1" s="405" t="n"/>
      <c r="Q1" s="405" t="n"/>
      <c r="R1" s="405" t="n"/>
      <c r="S1" s="405" t="n"/>
      <c r="T1" s="405" t="n"/>
      <c r="U1" s="405" t="n"/>
      <c r="V1" s="405" t="n"/>
      <c r="W1" s="405" t="n"/>
      <c r="X1" s="405" t="n"/>
      <c r="Y1" s="406" t="n"/>
      <c r="Z1" s="190" t="n"/>
    </row>
    <row r="2" ht="240.6" customHeight="1" thickBot="1">
      <c r="A2" s="208" t="inlineStr">
        <is>
          <t>Row Labels</t>
        </is>
      </c>
      <c r="B2" s="225" t="inlineStr">
        <is>
          <t>I-RJ-MRTA-PMP-0053</t>
        </is>
      </c>
      <c r="C2" s="225" t="inlineStr">
        <is>
          <t>I-RJ-DENA-PMP-0006</t>
        </is>
      </c>
      <c r="D2" s="225" t="inlineStr">
        <is>
          <t>I-RJ-PASS-PMP-0007</t>
        </is>
      </c>
      <c r="E2" s="225" t="inlineStr">
        <is>
          <t>I-RJ-PASS-PMP-0008</t>
        </is>
      </c>
      <c r="F2" s="225" t="inlineStr">
        <is>
          <t>I-RJ-KESR-PMP-0018</t>
        </is>
      </c>
      <c r="G2" s="225" t="inlineStr">
        <is>
          <t>I-RJ-DDWN-PMP-0062</t>
        </is>
      </c>
      <c r="H2" s="225" t="inlineStr">
        <is>
          <t>I-RJ-MKRN-PMP-0030</t>
        </is>
      </c>
      <c r="I2" s="225" t="inlineStr">
        <is>
          <t>I-RJ-JAAW-PMP-0004</t>
        </is>
      </c>
      <c r="J2" s="225" t="inlineStr">
        <is>
          <t>I-RJ-JAAW-PMP-0005</t>
        </is>
      </c>
      <c r="K2" s="225" t="inlineStr">
        <is>
          <t>I-RJ-SNCE-PMP-0017</t>
        </is>
      </c>
      <c r="L2" s="225" t="inlineStr">
        <is>
          <t>I-RJ-BORA-PMP-0004</t>
        </is>
      </c>
      <c r="M2" s="225" t="inlineStr">
        <is>
          <t>I-RJ-BORA-PMP-0021</t>
        </is>
      </c>
      <c r="N2" s="225" t="inlineStr">
        <is>
          <t>I-RJ-BNML-PMP-0008</t>
        </is>
      </c>
      <c r="O2" s="225" t="inlineStr">
        <is>
          <t>I-RJ-JLOR-PMP-0016</t>
        </is>
      </c>
      <c r="P2" s="225" t="inlineStr">
        <is>
          <t>I-RJ-BAGA-PMP-0001</t>
        </is>
      </c>
      <c r="Q2" s="225" t="inlineStr">
        <is>
          <t>I-RJ-BNML-PMP-0003</t>
        </is>
      </c>
      <c r="R2" s="225" t="inlineStr">
        <is>
          <t>I-RJ-SNCE-PMP-0005</t>
        </is>
      </c>
      <c r="S2" s="225" t="inlineStr">
        <is>
          <t>I-RJ-SNCE-PMP-0013</t>
        </is>
      </c>
      <c r="T2" s="225" t="inlineStr">
        <is>
          <t>I-RJ-SNCE-PMP-0014</t>
        </is>
      </c>
      <c r="U2" s="225" t="inlineStr">
        <is>
          <t>I-RJ-KDRD-PMP-0001</t>
        </is>
      </c>
      <c r="V2" s="225" t="inlineStr">
        <is>
          <t>I-RJ-SNCE-PMP-0020</t>
        </is>
      </c>
      <c r="W2" s="225" t="inlineStr">
        <is>
          <t>I-RJ-SNCE-PMP-0019</t>
        </is>
      </c>
      <c r="X2" s="209" t="n"/>
      <c r="Y2" s="210" t="inlineStr">
        <is>
          <t>Grand Total</t>
        </is>
      </c>
      <c r="Z2" s="208" t="n"/>
    </row>
    <row r="3" ht="30.6" customHeight="1" thickBot="1">
      <c r="A3" s="226" t="n">
        <v>2002495907</v>
      </c>
      <c r="B3" s="230" t="n">
        <v>1</v>
      </c>
      <c r="C3" s="230" t="n">
        <v>1</v>
      </c>
      <c r="D3" s="230" t="n">
        <v>1</v>
      </c>
      <c r="E3" s="230" t="n">
        <v>1</v>
      </c>
      <c r="F3" s="230" t="n">
        <v>1</v>
      </c>
      <c r="G3" s="230" t="n">
        <v>1</v>
      </c>
      <c r="H3" s="230" t="n">
        <v>1</v>
      </c>
      <c r="I3" s="230" t="n">
        <v>1</v>
      </c>
      <c r="J3" s="230" t="n">
        <v>2</v>
      </c>
      <c r="K3" s="230" t="n">
        <v>3</v>
      </c>
      <c r="L3" s="230" t="n">
        <v>1</v>
      </c>
      <c r="M3" s="230" t="n">
        <v>1</v>
      </c>
      <c r="N3" s="230" t="n">
        <v>1</v>
      </c>
      <c r="O3" s="230" t="n">
        <v>1</v>
      </c>
      <c r="P3" s="230" t="n">
        <v>1</v>
      </c>
      <c r="Q3" s="230" t="n">
        <v>1</v>
      </c>
      <c r="R3" s="230" t="n">
        <v>2</v>
      </c>
      <c r="S3" s="230" t="n">
        <v>1</v>
      </c>
      <c r="T3" s="230" t="n">
        <v>1</v>
      </c>
      <c r="U3" s="230" t="n">
        <v>1</v>
      </c>
      <c r="V3" s="230" t="n">
        <v>1</v>
      </c>
      <c r="W3" s="230" t="n">
        <v>1</v>
      </c>
      <c r="X3" s="195" t="n"/>
      <c r="Y3" s="228">
        <f>SUM(B3:W3)</f>
        <v/>
      </c>
      <c r="Z3" s="226" t="inlineStr">
        <is>
          <t>A6 FIXED WIRELESS WI-FI ACCESS POINT</t>
        </is>
      </c>
    </row>
    <row r="4" ht="30.6" customHeight="1" thickBot="1">
      <c r="A4" s="226" t="n">
        <v>2002503216</v>
      </c>
      <c r="B4" s="230" t="n">
        <v>1</v>
      </c>
      <c r="C4" s="230" t="n">
        <v>1</v>
      </c>
      <c r="D4" s="230" t="n">
        <v>1</v>
      </c>
      <c r="E4" s="230" t="n">
        <v>1</v>
      </c>
      <c r="F4" s="230" t="n">
        <v>1</v>
      </c>
      <c r="G4" s="230" t="n">
        <v>1</v>
      </c>
      <c r="H4" s="230" t="n">
        <v>0</v>
      </c>
      <c r="I4" s="230" t="n">
        <v>1</v>
      </c>
      <c r="J4" s="230" t="n">
        <v>2</v>
      </c>
      <c r="K4" s="230" t="n">
        <v>2</v>
      </c>
      <c r="L4" s="230" t="n">
        <v>1</v>
      </c>
      <c r="M4" s="230" t="n">
        <v>0</v>
      </c>
      <c r="N4" s="230" t="n">
        <v>1</v>
      </c>
      <c r="O4" s="230" t="n">
        <v>1</v>
      </c>
      <c r="P4" s="230" t="n">
        <v>1</v>
      </c>
      <c r="Q4" s="230" t="n">
        <v>1</v>
      </c>
      <c r="R4" s="230" t="n">
        <v>0</v>
      </c>
      <c r="S4" s="230" t="n">
        <v>1</v>
      </c>
      <c r="T4" s="230" t="n">
        <v>0</v>
      </c>
      <c r="U4" s="230" t="n">
        <v>1</v>
      </c>
      <c r="V4" s="230" t="n">
        <v>0</v>
      </c>
      <c r="W4" s="230" t="n">
        <v>0</v>
      </c>
      <c r="X4" s="195" t="n"/>
      <c r="Y4" s="228">
        <f>SUM(B4:W4)</f>
        <v/>
      </c>
      <c r="Z4" s="226" t="inlineStr">
        <is>
          <t xml:space="preserve"> Fiber Patchcord MM 5M</t>
        </is>
      </c>
    </row>
    <row r="5" ht="30.6" customHeight="1" thickBot="1">
      <c r="A5" s="226" t="n">
        <v>2002334231</v>
      </c>
      <c r="B5" s="227" t="n">
        <v>0</v>
      </c>
      <c r="C5" s="227" t="n">
        <v>0</v>
      </c>
      <c r="D5" s="227" t="n">
        <v>0</v>
      </c>
      <c r="E5" s="227" t="n">
        <v>0</v>
      </c>
      <c r="F5" s="227" t="n">
        <v>0</v>
      </c>
      <c r="G5" s="227" t="n">
        <v>0</v>
      </c>
      <c r="H5" s="227" t="n">
        <v>1</v>
      </c>
      <c r="I5" s="227" t="n">
        <v>0</v>
      </c>
      <c r="J5" s="227" t="n">
        <v>0</v>
      </c>
      <c r="K5" s="227" t="n">
        <v>1</v>
      </c>
      <c r="L5" s="227" t="n">
        <v>0</v>
      </c>
      <c r="M5" s="227" t="n">
        <v>1</v>
      </c>
      <c r="N5" s="227" t="n">
        <v>0</v>
      </c>
      <c r="O5" s="227" t="n">
        <v>0</v>
      </c>
      <c r="P5" s="227" t="n">
        <v>0</v>
      </c>
      <c r="Q5" s="227" t="n">
        <v>0</v>
      </c>
      <c r="R5" s="227" t="n">
        <v>2</v>
      </c>
      <c r="S5" s="227" t="n">
        <v>0</v>
      </c>
      <c r="T5" s="227" t="n">
        <v>1</v>
      </c>
      <c r="U5" s="227" t="n">
        <v>0</v>
      </c>
      <c r="V5" s="227" t="n">
        <v>1</v>
      </c>
      <c r="W5" s="227" t="n">
        <v>1</v>
      </c>
      <c r="X5" s="195" t="n"/>
      <c r="Y5" s="228">
        <f>SUM(B5:W5)</f>
        <v/>
      </c>
      <c r="Z5" s="226" t="inlineStr">
        <is>
          <t>CPRI CABLE 50 MTR - (MULTIMODE)</t>
        </is>
      </c>
    </row>
    <row r="6" ht="30.6" customHeight="1" thickBot="1">
      <c r="A6" s="229" t="n">
        <v>2002269100</v>
      </c>
      <c r="B6" s="227" t="n">
        <v>0</v>
      </c>
      <c r="C6" s="227" t="n">
        <v>0</v>
      </c>
      <c r="D6" s="227" t="n">
        <v>0</v>
      </c>
      <c r="E6" s="227" t="n">
        <v>0</v>
      </c>
      <c r="F6" s="227" t="n">
        <v>0</v>
      </c>
      <c r="G6" s="227" t="n">
        <v>0</v>
      </c>
      <c r="H6" s="227" t="n">
        <v>0</v>
      </c>
      <c r="I6" s="227" t="n">
        <v>0</v>
      </c>
      <c r="J6" s="227" t="n">
        <v>0</v>
      </c>
      <c r="K6" s="227" t="n">
        <v>0</v>
      </c>
      <c r="L6" s="227" t="n">
        <v>0</v>
      </c>
      <c r="M6" s="227" t="n">
        <v>0</v>
      </c>
      <c r="N6" s="227" t="n">
        <v>0</v>
      </c>
      <c r="O6" s="227" t="n">
        <v>0</v>
      </c>
      <c r="P6" s="231" t="n">
        <v>1</v>
      </c>
      <c r="Q6" s="227" t="n">
        <v>0</v>
      </c>
      <c r="R6" s="227" t="n">
        <v>0</v>
      </c>
      <c r="S6" s="227" t="n">
        <v>0</v>
      </c>
      <c r="T6" s="227" t="n">
        <v>0</v>
      </c>
      <c r="U6" s="227" t="n">
        <v>0</v>
      </c>
      <c r="V6" s="227" t="n">
        <v>0</v>
      </c>
      <c r="W6" s="227" t="n">
        <v>0</v>
      </c>
      <c r="X6" s="195" t="n"/>
      <c r="Y6" s="228">
        <f>SUM(B6:W6)</f>
        <v/>
      </c>
      <c r="Z6" s="226" t="inlineStr">
        <is>
          <t>EARTHING CLAMP</t>
        </is>
      </c>
    </row>
    <row r="7" ht="30.6" customHeight="1" thickBot="1">
      <c r="A7" s="226" t="n">
        <v>2002668786</v>
      </c>
      <c r="B7" s="227" t="n">
        <v>0</v>
      </c>
      <c r="C7" s="227" t="n">
        <v>0</v>
      </c>
      <c r="D7" s="227" t="n">
        <v>0</v>
      </c>
      <c r="E7" s="227" t="n">
        <v>0</v>
      </c>
      <c r="F7" s="227" t="n">
        <v>0</v>
      </c>
      <c r="G7" s="227" t="n">
        <v>0</v>
      </c>
      <c r="H7" s="227" t="n">
        <v>0</v>
      </c>
      <c r="I7" s="227" t="n">
        <v>0</v>
      </c>
      <c r="J7" s="227" t="n">
        <v>0</v>
      </c>
      <c r="K7" s="227" t="n">
        <v>0</v>
      </c>
      <c r="L7" s="227" t="n">
        <v>0</v>
      </c>
      <c r="M7" s="227" t="n">
        <v>0</v>
      </c>
      <c r="N7" s="227" t="n">
        <v>0</v>
      </c>
      <c r="O7" s="227" t="n">
        <v>0</v>
      </c>
      <c r="P7" s="227" t="n">
        <v>0</v>
      </c>
      <c r="Q7" s="227" t="n">
        <v>0</v>
      </c>
      <c r="R7" s="227" t="n">
        <v>4</v>
      </c>
      <c r="S7" s="227" t="n">
        <v>0</v>
      </c>
      <c r="T7" s="227" t="n">
        <v>2</v>
      </c>
      <c r="U7" s="227" t="n">
        <v>0</v>
      </c>
      <c r="V7" s="227" t="n">
        <v>0</v>
      </c>
      <c r="W7" s="227" t="n">
        <v>2</v>
      </c>
      <c r="X7" s="195" t="n"/>
      <c r="Y7" s="228">
        <f>SUM(B7:W7)</f>
        <v/>
      </c>
      <c r="Z7" s="226" t="inlineStr">
        <is>
          <t>SFP MULTIMODE 1G 10 KM</t>
        </is>
      </c>
    </row>
    <row r="8" ht="30.6" customHeight="1" thickBot="1">
      <c r="A8" s="226" t="n">
        <v>2001649259</v>
      </c>
      <c r="B8" s="227" t="n">
        <v>0</v>
      </c>
      <c r="C8" s="227" t="n">
        <v>0</v>
      </c>
      <c r="D8" s="227" t="n">
        <v>0</v>
      </c>
      <c r="E8" s="227" t="n">
        <v>0</v>
      </c>
      <c r="F8" s="227" t="n">
        <v>0</v>
      </c>
      <c r="G8" s="227" t="n">
        <v>0</v>
      </c>
      <c r="H8" s="227" t="n">
        <v>0</v>
      </c>
      <c r="I8" s="227" t="n">
        <v>0</v>
      </c>
      <c r="J8" s="227" t="n">
        <v>0</v>
      </c>
      <c r="K8" s="227" t="n">
        <v>0</v>
      </c>
      <c r="L8" s="227" t="n">
        <v>0</v>
      </c>
      <c r="M8" s="227" t="n">
        <v>0</v>
      </c>
      <c r="N8" s="227" t="n">
        <v>0</v>
      </c>
      <c r="O8" s="227" t="n">
        <v>2</v>
      </c>
      <c r="P8" s="227" t="n">
        <v>0</v>
      </c>
      <c r="Q8" s="227" t="n">
        <v>0</v>
      </c>
      <c r="R8" s="227" t="n">
        <v>0</v>
      </c>
      <c r="S8" s="227" t="n">
        <v>0</v>
      </c>
      <c r="T8" s="227" t="n">
        <v>0</v>
      </c>
      <c r="U8" s="227" t="n">
        <v>0</v>
      </c>
      <c r="V8" s="227" t="n">
        <v>0</v>
      </c>
      <c r="W8" s="227" t="n">
        <v>0</v>
      </c>
      <c r="X8" s="195" t="n"/>
      <c r="Y8" s="228">
        <f>SUM(B8:W8)</f>
        <v/>
      </c>
      <c r="Z8" s="226" t="inlineStr">
        <is>
          <t>SFP MULTIMODE 1G 10 KM</t>
        </is>
      </c>
    </row>
    <row r="9" ht="30.6" customHeight="1" thickBot="1">
      <c r="A9" s="226" t="n">
        <v>9500172828</v>
      </c>
      <c r="B9" s="227" t="n">
        <v>0</v>
      </c>
      <c r="C9" s="227" t="n">
        <v>0</v>
      </c>
      <c r="D9" s="227" t="n">
        <v>0</v>
      </c>
      <c r="E9" s="227" t="n">
        <v>0</v>
      </c>
      <c r="F9" s="227" t="n">
        <v>0</v>
      </c>
      <c r="G9" s="227" t="n">
        <v>0</v>
      </c>
      <c r="H9" s="227" t="n">
        <v>0</v>
      </c>
      <c r="I9" s="227" t="n">
        <v>0</v>
      </c>
      <c r="J9" s="227" t="n">
        <v>0</v>
      </c>
      <c r="K9" s="227" t="n">
        <v>0</v>
      </c>
      <c r="L9" s="227" t="n">
        <v>0</v>
      </c>
      <c r="M9" s="227" t="n">
        <v>0</v>
      </c>
      <c r="N9" s="227" t="n">
        <v>0</v>
      </c>
      <c r="O9" s="227" t="n">
        <v>0</v>
      </c>
      <c r="P9" s="227" t="n">
        <v>0</v>
      </c>
      <c r="Q9" s="227" t="n">
        <v>0</v>
      </c>
      <c r="R9" s="227" t="n">
        <v>0</v>
      </c>
      <c r="S9" s="227" t="n">
        <v>0</v>
      </c>
      <c r="T9" s="227" t="n">
        <v>0</v>
      </c>
      <c r="U9" s="227" t="n">
        <v>0</v>
      </c>
      <c r="V9" s="227" t="n">
        <v>2</v>
      </c>
      <c r="W9" s="227" t="n">
        <v>0</v>
      </c>
      <c r="X9" s="195" t="n"/>
      <c r="Y9" s="228">
        <f>SUM(B9:W9)</f>
        <v/>
      </c>
      <c r="Z9" s="226" t="inlineStr">
        <is>
          <t>SFP MULTIMODE 1G 10 KM</t>
        </is>
      </c>
    </row>
    <row r="10" ht="30.6" customHeight="1" thickBot="1">
      <c r="A10" s="226" t="n">
        <v>2002668758</v>
      </c>
      <c r="B10" s="227" t="n">
        <v>2</v>
      </c>
      <c r="C10" s="227" t="n">
        <v>2</v>
      </c>
      <c r="D10" s="227" t="n">
        <v>2</v>
      </c>
      <c r="E10" s="227" t="n">
        <v>2</v>
      </c>
      <c r="F10" s="227" t="n">
        <v>2</v>
      </c>
      <c r="G10" s="227" t="n">
        <v>2</v>
      </c>
      <c r="H10" s="227" t="n">
        <v>2</v>
      </c>
      <c r="I10" s="227" t="n">
        <v>2</v>
      </c>
      <c r="J10" s="227" t="n">
        <v>4</v>
      </c>
      <c r="K10" s="227" t="n">
        <v>6</v>
      </c>
      <c r="L10" s="227" t="n">
        <v>2</v>
      </c>
      <c r="M10" s="227" t="n">
        <v>2</v>
      </c>
      <c r="N10" s="227" t="n">
        <v>2</v>
      </c>
      <c r="O10" s="227" t="n">
        <v>0</v>
      </c>
      <c r="P10" s="227" t="n">
        <v>2</v>
      </c>
      <c r="Q10" s="227" t="n">
        <v>2</v>
      </c>
      <c r="R10" s="227" t="n">
        <v>0</v>
      </c>
      <c r="S10" s="227" t="n">
        <v>2</v>
      </c>
      <c r="T10" s="227" t="n">
        <v>0</v>
      </c>
      <c r="U10" s="227" t="n">
        <v>2</v>
      </c>
      <c r="V10" s="227" t="n">
        <v>0</v>
      </c>
      <c r="W10" s="227" t="n">
        <v>0</v>
      </c>
      <c r="X10" s="195" t="n"/>
      <c r="Y10" s="228">
        <f>SUM(B10:W10)</f>
        <v/>
      </c>
      <c r="Z10" s="226" t="inlineStr">
        <is>
          <t xml:space="preserve">SFP MULTIMODE 10G </t>
        </is>
      </c>
    </row>
    <row r="11" ht="30.6" customHeight="1" thickBot="1">
      <c r="A11" s="226" t="n">
        <v>2002677184</v>
      </c>
      <c r="B11" s="230" t="n">
        <v>1</v>
      </c>
      <c r="C11" s="230" t="n">
        <v>1</v>
      </c>
      <c r="D11" s="230" t="n">
        <v>1</v>
      </c>
      <c r="E11" s="230" t="n">
        <v>1</v>
      </c>
      <c r="F11" s="230" t="n">
        <v>1</v>
      </c>
      <c r="G11" s="230" t="n">
        <v>1</v>
      </c>
      <c r="H11" s="230" t="n">
        <v>1</v>
      </c>
      <c r="I11" s="230" t="n">
        <v>1</v>
      </c>
      <c r="J11" s="230" t="n">
        <v>2</v>
      </c>
      <c r="K11" s="230" t="n">
        <v>3</v>
      </c>
      <c r="L11" s="230" t="n">
        <v>1</v>
      </c>
      <c r="M11" s="230" t="n">
        <v>1</v>
      </c>
      <c r="N11" s="230" t="n">
        <v>1</v>
      </c>
      <c r="O11" s="230" t="n">
        <v>1</v>
      </c>
      <c r="P11" s="230" t="n">
        <v>1</v>
      </c>
      <c r="Q11" s="230" t="n">
        <v>1</v>
      </c>
      <c r="R11" s="230" t="n">
        <v>2</v>
      </c>
      <c r="S11" s="230" t="n">
        <v>1</v>
      </c>
      <c r="T11" s="230" t="n">
        <v>1</v>
      </c>
      <c r="U11" s="230" t="n">
        <v>1</v>
      </c>
      <c r="V11" s="230" t="n">
        <v>0</v>
      </c>
      <c r="W11" s="230" t="n">
        <v>1</v>
      </c>
      <c r="X11" s="195" t="n"/>
      <c r="Y11" s="228">
        <f>SUM(B11:W11)</f>
        <v/>
      </c>
      <c r="Z11" s="226" t="inlineStr">
        <is>
          <t>MOUNTING BRACKET</t>
        </is>
      </c>
    </row>
    <row r="12" ht="30.6" customHeight="1" thickBot="1">
      <c r="A12" s="226" t="n">
        <v>2002669131</v>
      </c>
      <c r="B12" s="227" t="n">
        <v>0</v>
      </c>
      <c r="C12" s="227" t="n">
        <v>0</v>
      </c>
      <c r="D12" s="227" t="n">
        <v>0</v>
      </c>
      <c r="E12" s="227" t="n">
        <v>0</v>
      </c>
      <c r="F12" s="227" t="n">
        <v>0</v>
      </c>
      <c r="G12" s="227" t="n">
        <v>0</v>
      </c>
      <c r="H12" s="227" t="n">
        <v>0</v>
      </c>
      <c r="I12" s="227" t="n">
        <v>0</v>
      </c>
      <c r="J12" s="227" t="n">
        <v>0</v>
      </c>
      <c r="K12" s="227" t="n">
        <v>0</v>
      </c>
      <c r="L12" s="227" t="n">
        <v>0</v>
      </c>
      <c r="M12" s="227" t="n">
        <v>0</v>
      </c>
      <c r="N12" s="227" t="n">
        <v>0</v>
      </c>
      <c r="O12" s="227" t="n">
        <v>0</v>
      </c>
      <c r="P12" s="227" t="n">
        <v>0</v>
      </c>
      <c r="Q12" s="227" t="n">
        <v>0</v>
      </c>
      <c r="R12" s="227" t="n">
        <v>0</v>
      </c>
      <c r="S12" s="227" t="n">
        <v>0</v>
      </c>
      <c r="T12" s="227" t="n">
        <v>0</v>
      </c>
      <c r="U12" s="227" t="n">
        <v>0</v>
      </c>
      <c r="V12" s="227" t="n">
        <v>1</v>
      </c>
      <c r="W12" s="227" t="n">
        <v>0</v>
      </c>
      <c r="X12" s="195" t="n"/>
      <c r="Y12" s="228">
        <f>SUM(B12:W12)</f>
        <v/>
      </c>
      <c r="Z12" s="226" t="inlineStr">
        <is>
          <t>MOUNTING BRACKET</t>
        </is>
      </c>
    </row>
    <row r="13" ht="30.6" customHeight="1" thickBot="1">
      <c r="A13" s="226" t="n">
        <v>2002456956</v>
      </c>
      <c r="B13" s="227" t="n">
        <v>0</v>
      </c>
      <c r="C13" s="227" t="n">
        <v>0</v>
      </c>
      <c r="D13" s="227" t="n">
        <v>0</v>
      </c>
      <c r="E13" s="227" t="n">
        <v>0</v>
      </c>
      <c r="F13" s="227" t="n">
        <v>0</v>
      </c>
      <c r="G13" s="227" t="n">
        <v>0</v>
      </c>
      <c r="H13" s="227" t="n">
        <v>1</v>
      </c>
      <c r="I13" s="227" t="n">
        <v>0</v>
      </c>
      <c r="J13" s="227" t="n">
        <v>0</v>
      </c>
      <c r="K13" s="227" t="n">
        <v>0</v>
      </c>
      <c r="L13" s="227" t="n">
        <v>0</v>
      </c>
      <c r="M13" s="227" t="n">
        <v>0</v>
      </c>
      <c r="N13" s="227" t="n">
        <v>0</v>
      </c>
      <c r="O13" s="227" t="n">
        <v>0</v>
      </c>
      <c r="P13" s="227" t="n">
        <v>0</v>
      </c>
      <c r="Q13" s="227" t="n">
        <v>0</v>
      </c>
      <c r="R13" s="227" t="n">
        <v>0</v>
      </c>
      <c r="S13" s="227" t="n">
        <v>0</v>
      </c>
      <c r="T13" s="227" t="n">
        <v>0</v>
      </c>
      <c r="U13" s="227" t="n">
        <v>0</v>
      </c>
      <c r="V13" s="227" t="n">
        <v>1</v>
      </c>
      <c r="W13" s="227" t="n">
        <v>0</v>
      </c>
      <c r="X13" s="195" t="n"/>
      <c r="Y13" s="228">
        <f>SUM(B13:W13)</f>
        <v/>
      </c>
      <c r="Z13" s="226" t="inlineStr">
        <is>
          <t>INSTALLATION IRM KIT</t>
        </is>
      </c>
    </row>
    <row r="14" ht="30.6" customHeight="1" thickBot="1">
      <c r="A14" s="226" t="n">
        <v>2002475640</v>
      </c>
      <c r="B14" s="230" t="n">
        <v>1</v>
      </c>
      <c r="C14" s="230" t="n">
        <v>1</v>
      </c>
      <c r="D14" s="230" t="n">
        <v>1</v>
      </c>
      <c r="E14" s="230" t="n">
        <v>1</v>
      </c>
      <c r="F14" s="230" t="n">
        <v>1</v>
      </c>
      <c r="G14" s="230" t="n">
        <v>1</v>
      </c>
      <c r="H14" s="230" t="n">
        <v>0</v>
      </c>
      <c r="I14" s="230" t="n">
        <v>1</v>
      </c>
      <c r="J14" s="230" t="n">
        <v>2</v>
      </c>
      <c r="K14" s="230" t="n">
        <v>3</v>
      </c>
      <c r="L14" s="230" t="n">
        <v>1</v>
      </c>
      <c r="M14" s="230" t="n">
        <v>1</v>
      </c>
      <c r="N14" s="230" t="n">
        <v>1</v>
      </c>
      <c r="O14" s="230" t="n">
        <v>1</v>
      </c>
      <c r="P14" s="230" t="n">
        <v>1</v>
      </c>
      <c r="Q14" s="230" t="n">
        <v>1</v>
      </c>
      <c r="R14" s="230" t="n">
        <v>2</v>
      </c>
      <c r="S14" s="230" t="n">
        <v>1</v>
      </c>
      <c r="T14" s="230" t="n">
        <v>1</v>
      </c>
      <c r="U14" s="230" t="n">
        <v>1</v>
      </c>
      <c r="V14" s="230" t="n">
        <v>0</v>
      </c>
      <c r="W14" s="230" t="n">
        <v>1</v>
      </c>
      <c r="X14" s="195" t="n"/>
      <c r="Y14" s="228">
        <f>SUM(B14:W14)</f>
        <v/>
      </c>
      <c r="Z14" s="226" t="inlineStr">
        <is>
          <t>INSTALLATION IRM KIT</t>
        </is>
      </c>
    </row>
    <row r="15" ht="30.6" customHeight="1" thickBot="1">
      <c r="A15" s="226" t="n">
        <v>2002462695</v>
      </c>
      <c r="B15" s="230" t="n">
        <v>1</v>
      </c>
      <c r="C15" s="230" t="n">
        <v>1</v>
      </c>
      <c r="D15" s="230" t="n">
        <v>1</v>
      </c>
      <c r="E15" s="230" t="n">
        <v>1</v>
      </c>
      <c r="F15" s="230" t="n">
        <v>1</v>
      </c>
      <c r="G15" s="230" t="n">
        <v>1</v>
      </c>
      <c r="H15" s="230" t="n">
        <v>1</v>
      </c>
      <c r="I15" s="230" t="n">
        <v>1</v>
      </c>
      <c r="J15" s="230" t="n">
        <v>2</v>
      </c>
      <c r="K15" s="230" t="n">
        <v>3</v>
      </c>
      <c r="L15" s="230" t="n">
        <v>1</v>
      </c>
      <c r="M15" s="230" t="n">
        <v>1</v>
      </c>
      <c r="N15" s="230" t="n">
        <v>1</v>
      </c>
      <c r="O15" s="230" t="n">
        <v>1</v>
      </c>
      <c r="P15" s="230" t="n">
        <v>1</v>
      </c>
      <c r="Q15" s="230" t="n">
        <v>1</v>
      </c>
      <c r="R15" s="230" t="n">
        <v>2</v>
      </c>
      <c r="S15" s="230" t="n">
        <v>1</v>
      </c>
      <c r="T15" s="230" t="n">
        <v>1</v>
      </c>
      <c r="U15" s="230" t="n">
        <v>1</v>
      </c>
      <c r="V15" s="230" t="n">
        <v>1</v>
      </c>
      <c r="W15" s="230" t="n">
        <v>1</v>
      </c>
      <c r="X15" s="195" t="n"/>
      <c r="Y15" s="228">
        <f>SUM(B15:W15)</f>
        <v/>
      </c>
      <c r="Z15" s="226" t="inlineStr">
        <is>
          <t>POWR CABLE 50 MTR</t>
        </is>
      </c>
    </row>
    <row r="16" ht="46.2" customHeight="1" thickBot="1">
      <c r="A16" s="191" t="n"/>
      <c r="B16" s="191" t="n"/>
      <c r="C16" s="191" t="n"/>
      <c r="D16" s="191" t="n"/>
      <c r="E16" s="191" t="n"/>
      <c r="F16" s="191" t="n"/>
      <c r="G16" s="191" t="n"/>
      <c r="H16" s="191" t="n"/>
      <c r="I16" s="191" t="n"/>
      <c r="J16" s="191" t="n"/>
      <c r="K16" s="191" t="n"/>
      <c r="L16" s="191" t="n"/>
      <c r="M16" s="191" t="n"/>
      <c r="N16" s="191" t="n"/>
      <c r="O16" s="191" t="n"/>
      <c r="P16" s="191" t="n"/>
      <c r="Q16" s="191" t="n"/>
      <c r="R16" s="191" t="n"/>
      <c r="S16" s="191" t="n"/>
      <c r="T16" s="191" t="n"/>
      <c r="U16" s="191" t="n"/>
      <c r="V16" s="191" t="n"/>
      <c r="W16" s="191" t="n"/>
      <c r="X16" s="191" t="n"/>
      <c r="Y16" s="191" t="n"/>
      <c r="Z16" s="192" t="n"/>
    </row>
    <row r="17" ht="46.2" customHeight="1" thickBot="1">
      <c r="A17" s="193" t="inlineStr">
        <is>
          <t>Grand Total</t>
        </is>
      </c>
      <c r="B17" s="194">
        <f>SUM(B3:B15)</f>
        <v/>
      </c>
      <c r="C17" s="194">
        <f>SUM(C3:C15)</f>
        <v/>
      </c>
      <c r="D17" s="194">
        <f>SUM(D3:D15)</f>
        <v/>
      </c>
      <c r="E17" s="194">
        <f>SUM(E3:E15)</f>
        <v/>
      </c>
      <c r="F17" s="194">
        <f>SUM(F3:F15)</f>
        <v/>
      </c>
      <c r="G17" s="194">
        <f>SUM(G3:G15)</f>
        <v/>
      </c>
      <c r="H17" s="194">
        <f>SUM(H3:H15)</f>
        <v/>
      </c>
      <c r="I17" s="194">
        <f>SUM(I3:I15)</f>
        <v/>
      </c>
      <c r="J17" s="194">
        <f>SUM(J3:J15)</f>
        <v/>
      </c>
      <c r="K17" s="194">
        <f>SUM(K3:K15)</f>
        <v/>
      </c>
      <c r="L17" s="194">
        <f>SUM(L3:L15)</f>
        <v/>
      </c>
      <c r="M17" s="194">
        <f>SUM(M3:M15)</f>
        <v/>
      </c>
      <c r="N17" s="194">
        <f>SUM(N3:N15)</f>
        <v/>
      </c>
      <c r="O17" s="194">
        <f>SUM(O3:O15)</f>
        <v/>
      </c>
      <c r="P17" s="232">
        <f>SUM(P3:P15)</f>
        <v/>
      </c>
      <c r="Q17" s="194">
        <f>SUM(Q3:Q15)</f>
        <v/>
      </c>
      <c r="R17" s="194">
        <f>SUM(R3:R15)</f>
        <v/>
      </c>
      <c r="S17" s="194">
        <f>SUM(S3:S15)</f>
        <v/>
      </c>
      <c r="T17" s="194">
        <f>SUM(T3:T15)</f>
        <v/>
      </c>
      <c r="U17" s="194">
        <f>SUM(U3:U15)</f>
        <v/>
      </c>
      <c r="V17" s="194">
        <f>SUM(V3:V15)</f>
        <v/>
      </c>
      <c r="W17" s="194">
        <f>SUM(W3:W15)</f>
        <v/>
      </c>
      <c r="X17" s="195" t="n"/>
      <c r="Y17" s="194">
        <f>SUM(Y3:Y15)</f>
        <v/>
      </c>
      <c r="Z17" s="192" t="n"/>
    </row>
    <row r="18" ht="46.2" customHeight="1"/>
    <row r="19" ht="46.2" customHeight="1"/>
    <row r="20" ht="46.2" customHeight="1"/>
    <row r="21" ht="46.2" customHeight="1"/>
  </sheetData>
  <mergeCells count="1">
    <mergeCell ref="A1:Y1"/>
  </mergeCells>
  <pageMargins left="0.299212598" right="0.458661417" top="0.354330708661417" bottom="0.354330708661417" header="0.31496062992126" footer="0.31496062992126"/>
  <pageSetup orientation="landscape" paperSize="9" scale="4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Anuj10 Sharma (Consultant)</dc:creator>
  <dcterms:created xsi:type="dcterms:W3CDTF">2019-02-15T11:03:32Z</dcterms:created>
  <dcterms:modified xsi:type="dcterms:W3CDTF">2026-04-07T18:59:27Z</dcterms:modified>
  <cp:lastModifiedBy>Ankush Srivastava</cp:lastModifiedBy>
  <cp:lastPrinted>2025-09-06T03:59:45Z</cp:lastPrinted>
</cp:coreProperties>
</file>
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riva\OneDrive\Music\"/>
    </mc:Choice>
  </mc:AlternateContent>
  <bookViews>
    <workbookView xWindow="0" yWindow="0" windowWidth="23040" windowHeight="6960" tabRatio="729" activeTab="6"/>
  </bookViews>
  <sheets>
    <sheet name="Main WCC" sheetId="11" r:id="rId1"/>
    <sheet name="WCC" sheetId="12" r:id="rId2"/>
    <sheet name="JMS" sheetId="36" r:id="rId3"/>
    <sheet name="Abstract" sheetId="35" r:id="rId4"/>
    <sheet name="BOQ" sheetId="37" r:id="rId5"/>
    <sheet name="Declaration" sheetId="25" r:id="rId6"/>
    <sheet name="Reco" sheetId="39" r:id="rId7"/>
    <sheet name="Annexture" sheetId="33" r:id="rId8"/>
  </sheets>
  <definedNames>
    <definedName name="_xlnm._FilterDatabase" localSheetId="7" hidden="1">Annexture!$A$2:$Z$15</definedName>
    <definedName name="_xlnm._FilterDatabase" localSheetId="1" hidden="1">WCC!$C$11:$O$11</definedName>
    <definedName name="_xlnm.Print_Area" localSheetId="1">WCC!$C$5:$O$33</definedName>
  </definedNames>
  <calcPr calcId="152511"/>
</workbook>
</file>

<file path=xl/calcChain.xml><?xml version="1.0" encoding="utf-8"?>
<calcChain xmlns="http://schemas.openxmlformats.org/spreadsheetml/2006/main">
  <c r="J17" i="33" l="1"/>
  <c r="I17" i="33"/>
  <c r="H17" i="33"/>
  <c r="K17" i="33"/>
  <c r="G17" i="33"/>
  <c r="F17" i="33"/>
  <c r="E17" i="33"/>
  <c r="Y9" i="33"/>
  <c r="Y8" i="33"/>
  <c r="Y7" i="33"/>
  <c r="Y6" i="33"/>
  <c r="O23" i="39"/>
  <c r="O18" i="39"/>
  <c r="O25" i="39" s="1"/>
  <c r="O28" i="39" s="1"/>
  <c r="O31" i="39" s="1"/>
  <c r="I23" i="39"/>
  <c r="I18" i="39"/>
  <c r="I25" i="39" s="1"/>
  <c r="I28" i="39" s="1"/>
  <c r="I31" i="39" s="1"/>
  <c r="H23" i="39"/>
  <c r="H18" i="39"/>
  <c r="L23" i="39"/>
  <c r="L18" i="39"/>
  <c r="L25" i="39" s="1"/>
  <c r="L28" i="39" s="1"/>
  <c r="L31" i="39" s="1"/>
  <c r="M23" i="39"/>
  <c r="M18" i="39"/>
  <c r="M25" i="39" s="1"/>
  <c r="M28" i="39" s="1"/>
  <c r="M31" i="39" s="1"/>
  <c r="H25" i="39" l="1"/>
  <c r="H28" i="39" s="1"/>
  <c r="H31" i="39" s="1"/>
  <c r="AA24" i="37" l="1"/>
  <c r="AC24" i="37" s="1"/>
  <c r="AA22" i="37"/>
  <c r="AC22" i="37" s="1"/>
  <c r="AA21" i="37"/>
  <c r="AC21" i="37" s="1"/>
  <c r="AA20" i="37"/>
  <c r="AC20" i="37" s="1"/>
  <c r="AA19" i="37"/>
  <c r="AC19" i="37" s="1"/>
  <c r="AA18" i="37"/>
  <c r="AC18" i="37" s="1"/>
  <c r="AA17" i="37"/>
  <c r="AC17" i="37" s="1"/>
  <c r="AA16" i="37"/>
  <c r="AC16" i="37" s="1"/>
  <c r="AA24" i="35"/>
  <c r="AC24" i="35" s="1"/>
  <c r="AA22" i="35"/>
  <c r="AC22" i="35" s="1"/>
  <c r="AA21" i="35"/>
  <c r="AC21" i="35" s="1"/>
  <c r="AA20" i="35"/>
  <c r="AC20" i="35" s="1"/>
  <c r="AA19" i="35"/>
  <c r="AC19" i="35" s="1"/>
  <c r="AA18" i="35"/>
  <c r="AC18" i="35" s="1"/>
  <c r="AA17" i="35"/>
  <c r="AC17" i="35" s="1"/>
  <c r="AA16" i="35"/>
  <c r="AC16" i="35" s="1"/>
  <c r="Y25" i="37"/>
  <c r="X25" i="37"/>
  <c r="W25" i="37"/>
  <c r="V25" i="37"/>
  <c r="U25" i="37"/>
  <c r="T25" i="37"/>
  <c r="S25" i="37"/>
  <c r="R25" i="37"/>
  <c r="Q25" i="37"/>
  <c r="P25" i="37"/>
  <c r="O25" i="37"/>
  <c r="N25" i="37"/>
  <c r="M25" i="37"/>
  <c r="L25" i="37"/>
  <c r="K25" i="37"/>
  <c r="J25" i="37"/>
  <c r="I25" i="37"/>
  <c r="H25" i="37"/>
  <c r="G25" i="37"/>
  <c r="F25" i="37"/>
  <c r="E25" i="37"/>
  <c r="D25" i="37"/>
  <c r="Y23" i="37"/>
  <c r="X23" i="37"/>
  <c r="W23" i="37"/>
  <c r="V23" i="37"/>
  <c r="U23" i="37"/>
  <c r="T23" i="37"/>
  <c r="S23" i="37"/>
  <c r="R23" i="37"/>
  <c r="Q23" i="37"/>
  <c r="P23" i="37"/>
  <c r="O23" i="37"/>
  <c r="N23" i="37"/>
  <c r="M23" i="37"/>
  <c r="L23" i="37"/>
  <c r="K23" i="37"/>
  <c r="J23" i="37"/>
  <c r="I23" i="37"/>
  <c r="H23" i="37"/>
  <c r="G23" i="37"/>
  <c r="F23" i="37"/>
  <c r="E23" i="37"/>
  <c r="D23" i="37"/>
  <c r="Y25" i="35"/>
  <c r="X25" i="35"/>
  <c r="W25" i="35"/>
  <c r="V25" i="35"/>
  <c r="U25" i="35"/>
  <c r="T25" i="35"/>
  <c r="S25" i="35"/>
  <c r="R25" i="35"/>
  <c r="Q25" i="35"/>
  <c r="P25" i="35"/>
  <c r="O25" i="35"/>
  <c r="N25" i="35"/>
  <c r="M25" i="35"/>
  <c r="L25" i="35"/>
  <c r="K25" i="35"/>
  <c r="J25" i="35"/>
  <c r="I25" i="35"/>
  <c r="H25" i="35"/>
  <c r="G25" i="35"/>
  <c r="F25" i="35"/>
  <c r="E25" i="35"/>
  <c r="D25" i="35"/>
  <c r="Y23" i="35"/>
  <c r="X23" i="35"/>
  <c r="W23" i="35"/>
  <c r="V23" i="35"/>
  <c r="U23" i="35"/>
  <c r="T23" i="35"/>
  <c r="S23" i="35"/>
  <c r="R23" i="35"/>
  <c r="Q23" i="35"/>
  <c r="P23" i="35"/>
  <c r="O23" i="35"/>
  <c r="N23" i="35"/>
  <c r="M23" i="35"/>
  <c r="L23" i="35"/>
  <c r="K23" i="35"/>
  <c r="J23" i="35"/>
  <c r="I23" i="35"/>
  <c r="H23" i="35"/>
  <c r="G23" i="35"/>
  <c r="F23" i="35"/>
  <c r="E23" i="35"/>
  <c r="D23" i="35"/>
  <c r="Y25" i="36"/>
  <c r="X25" i="36"/>
  <c r="W25" i="36"/>
  <c r="V25" i="36"/>
  <c r="U25" i="36"/>
  <c r="T25" i="36"/>
  <c r="S25" i="36"/>
  <c r="R25" i="36"/>
  <c r="Q25" i="36"/>
  <c r="P25" i="36"/>
  <c r="O25" i="36"/>
  <c r="N25" i="36"/>
  <c r="M25" i="36"/>
  <c r="L25" i="36"/>
  <c r="K25" i="36"/>
  <c r="J25" i="36"/>
  <c r="I25" i="36"/>
  <c r="H25" i="36"/>
  <c r="G25" i="36"/>
  <c r="F25" i="36"/>
  <c r="E25" i="36"/>
  <c r="D25" i="36"/>
  <c r="Y23" i="36"/>
  <c r="X23" i="36"/>
  <c r="W23" i="36"/>
  <c r="V23" i="36"/>
  <c r="U23" i="36"/>
  <c r="T23" i="36"/>
  <c r="S23" i="36"/>
  <c r="R23" i="36"/>
  <c r="Q23" i="36"/>
  <c r="P23" i="36"/>
  <c r="O23" i="36"/>
  <c r="N23" i="36"/>
  <c r="M23" i="36"/>
  <c r="L23" i="36"/>
  <c r="K23" i="36"/>
  <c r="J23" i="36"/>
  <c r="I23" i="36"/>
  <c r="H23" i="36"/>
  <c r="G23" i="36"/>
  <c r="F23" i="36"/>
  <c r="E23" i="36"/>
  <c r="D23" i="36"/>
  <c r="W13" i="12"/>
  <c r="W14" i="12"/>
  <c r="W15" i="12"/>
  <c r="W16" i="12"/>
  <c r="W17" i="12"/>
  <c r="W18" i="12"/>
  <c r="W19" i="12"/>
  <c r="W20" i="12"/>
  <c r="W21" i="12"/>
  <c r="W22" i="12"/>
  <c r="W23" i="12"/>
  <c r="W24" i="12"/>
  <c r="W25" i="12"/>
  <c r="W26" i="12"/>
  <c r="W27" i="12"/>
  <c r="W28" i="12"/>
  <c r="W29" i="12"/>
  <c r="W30" i="12"/>
  <c r="W31" i="12"/>
  <c r="W32" i="12"/>
  <c r="W33" i="12"/>
  <c r="W12" i="12"/>
  <c r="AA23" i="35" l="1"/>
  <c r="AC23" i="35" s="1"/>
  <c r="AA25" i="37"/>
  <c r="AC25" i="37" s="1"/>
  <c r="AA25" i="35"/>
  <c r="AC25" i="35" s="1"/>
  <c r="AA23" i="37"/>
  <c r="AC23" i="37" s="1"/>
  <c r="AA14" i="37"/>
  <c r="AA14" i="35"/>
  <c r="AA25" i="36"/>
  <c r="AA24" i="36"/>
  <c r="AA23" i="36"/>
  <c r="AA22" i="36"/>
  <c r="AA21" i="36"/>
  <c r="AA20" i="36"/>
  <c r="AA19" i="36"/>
  <c r="AA18" i="36"/>
  <c r="AA17" i="36"/>
  <c r="AA16" i="36"/>
  <c r="AA14" i="36"/>
  <c r="Y4" i="33" l="1"/>
  <c r="W17" i="33"/>
  <c r="V17" i="33"/>
  <c r="U17" i="33"/>
  <c r="T17" i="33"/>
  <c r="S17" i="33"/>
  <c r="R17" i="33"/>
  <c r="Q17" i="33"/>
  <c r="P17" i="33"/>
  <c r="O17" i="33"/>
  <c r="N17" i="33"/>
  <c r="M17" i="33"/>
  <c r="L17" i="33"/>
  <c r="D17" i="33"/>
  <c r="C17" i="33"/>
  <c r="B17" i="33"/>
  <c r="N23" i="39"/>
  <c r="N18" i="39"/>
  <c r="J23" i="39"/>
  <c r="J18" i="39"/>
  <c r="E23" i="39"/>
  <c r="E18" i="39"/>
  <c r="E25" i="39" l="1"/>
  <c r="E28" i="39" s="1"/>
  <c r="E31" i="39" s="1"/>
  <c r="N25" i="39"/>
  <c r="N28" i="39" s="1"/>
  <c r="N31" i="39" s="1"/>
  <c r="J25" i="39"/>
  <c r="J28" i="39" s="1"/>
  <c r="J31" i="39" s="1"/>
  <c r="X34" i="12" l="1"/>
  <c r="U34" i="12"/>
  <c r="Y5" i="33" l="1"/>
  <c r="Y10" i="33"/>
  <c r="Y11" i="33"/>
  <c r="Y12" i="33"/>
  <c r="Y13" i="33"/>
  <c r="Y14" i="33"/>
  <c r="Y15" i="33"/>
  <c r="Y3" i="33"/>
  <c r="Y17" i="33" l="1"/>
  <c r="AC26" i="37" l="1"/>
  <c r="AC26" i="35"/>
  <c r="F23" i="39" l="1"/>
  <c r="G23" i="39"/>
  <c r="K23" i="39"/>
  <c r="D23" i="39"/>
  <c r="AC25" i="36"/>
  <c r="AC24" i="36" l="1"/>
  <c r="C23" i="39" l="1"/>
  <c r="F18" i="39"/>
  <c r="G18" i="39"/>
  <c r="K18" i="39"/>
  <c r="K25" i="39" s="1"/>
  <c r="F25" i="39" l="1"/>
  <c r="AC23" i="36" l="1"/>
  <c r="AC17" i="36"/>
  <c r="AC18" i="36"/>
  <c r="AC19" i="36"/>
  <c r="AC20" i="36"/>
  <c r="AC21" i="36"/>
  <c r="AC22" i="36"/>
  <c r="AC16" i="36" l="1"/>
  <c r="AC26" i="36" s="1"/>
  <c r="G25" i="39"/>
  <c r="G28" i="39" s="1"/>
  <c r="G31" i="39" s="1"/>
  <c r="D18" i="39"/>
  <c r="D25" i="39" s="1"/>
  <c r="D28" i="39" s="1"/>
  <c r="D31" i="39" s="1"/>
  <c r="C18" i="39"/>
  <c r="K28" i="39" l="1"/>
  <c r="K31" i="39" s="1"/>
  <c r="C25" i="39"/>
  <c r="C28" i="39" s="1"/>
  <c r="C31" i="39" s="1"/>
</calcChain>
</file>

<file path=xl/sharedStrings.xml><?xml version="1.0" encoding="utf-8"?>
<sst xmlns="http://schemas.openxmlformats.org/spreadsheetml/2006/main" count="657" uniqueCount="247">
  <si>
    <t>Count -</t>
  </si>
  <si>
    <t>Site ID --</t>
  </si>
  <si>
    <t>Site Type</t>
  </si>
  <si>
    <t>Sectors</t>
  </si>
  <si>
    <t>Total Quantity</t>
  </si>
  <si>
    <t>Code</t>
  </si>
  <si>
    <t>Sr. No</t>
  </si>
  <si>
    <t>SAP ID</t>
  </si>
  <si>
    <t xml:space="preserve">Tower type </t>
  </si>
  <si>
    <t>JC</t>
  </si>
  <si>
    <t>MIN Date</t>
  </si>
  <si>
    <t>MIN  NO</t>
  </si>
  <si>
    <t>RATE AS PER SOW</t>
  </si>
  <si>
    <t>AMOUNT</t>
  </si>
  <si>
    <t>REMARKS</t>
  </si>
  <si>
    <t xml:space="preserve"> PROJECT-IN-CHARGE </t>
  </si>
  <si>
    <t xml:space="preserve">MR. MANISH NAHAR </t>
  </si>
  <si>
    <t xml:space="preserve">  DATE:  </t>
  </si>
  <si>
    <t>DEPLOYMENT HEAD</t>
  </si>
  <si>
    <t xml:space="preserve">         DATE:                                                                                                                                                                                                                                                                                                                                      DATE:</t>
  </si>
  <si>
    <t xml:space="preserve">DATE:  </t>
  </si>
  <si>
    <t xml:space="preserve">         SIGN:                                                                                                                                                                                                                                                          </t>
  </si>
  <si>
    <t xml:space="preserve"> SIGN:     </t>
  </si>
  <si>
    <t>SIGN:</t>
  </si>
  <si>
    <t>GBT</t>
  </si>
  <si>
    <t>RTP</t>
  </si>
  <si>
    <t>RTT</t>
  </si>
  <si>
    <t>GBM</t>
  </si>
  <si>
    <t>WH</t>
  </si>
  <si>
    <t>Work Completion Certificate</t>
  </si>
  <si>
    <t>State</t>
  </si>
  <si>
    <t>RAJASTHAN</t>
  </si>
  <si>
    <t>Maintenance Point</t>
  </si>
  <si>
    <t>Project Type</t>
  </si>
  <si>
    <t>93 K</t>
  </si>
  <si>
    <t>Infill</t>
  </si>
  <si>
    <t>Growth</t>
  </si>
  <si>
    <t>Other (Specify) _________________________</t>
  </si>
  <si>
    <t>Own Built</t>
  </si>
  <si>
    <t>IP Colo</t>
  </si>
  <si>
    <t>RP1</t>
  </si>
  <si>
    <t>BSNL</t>
  </si>
  <si>
    <t xml:space="preserve">    MAG1      NLD AG1</t>
  </si>
  <si>
    <t>Tower type</t>
  </si>
  <si>
    <t xml:space="preserve">     NBT         Other (Specify) _________________________________</t>
  </si>
  <si>
    <t>This is to certify that work has been completed as per specification given in workorder on the sites mentioned</t>
  </si>
  <si>
    <t>The required ITP / Checklists are available and verified in system</t>
  </si>
  <si>
    <t>Site Name</t>
  </si>
  <si>
    <t>W.O.Number</t>
  </si>
  <si>
    <t>Vendor Name                                 M/S.</t>
  </si>
  <si>
    <t>No of Sites</t>
  </si>
  <si>
    <t>Completion Date</t>
  </si>
  <si>
    <t>Vendor Representative</t>
  </si>
  <si>
    <t>RJIL Representative</t>
  </si>
  <si>
    <t>Name</t>
  </si>
  <si>
    <t>Sign</t>
  </si>
  <si>
    <t>Date</t>
  </si>
  <si>
    <t xml:space="preserve">Remarks, if any: </t>
  </si>
  <si>
    <t>Note :</t>
  </si>
  <si>
    <t>In case of Multiple sites, please attach applicable site details with this certificate</t>
  </si>
  <si>
    <t>VEHICLE NO</t>
  </si>
  <si>
    <t xml:space="preserve">                                                                                                                                                                                                                                                                                              </t>
  </si>
  <si>
    <t>Description of Item</t>
  </si>
  <si>
    <t>UOM</t>
  </si>
  <si>
    <t>EA</t>
  </si>
  <si>
    <t>As per Annexture</t>
  </si>
  <si>
    <t>MR. Manish Nahar</t>
  </si>
  <si>
    <t>DECLARATION STATEMENT</t>
  </si>
  <si>
    <t>Name of Contractor</t>
  </si>
  <si>
    <t>Authorised Signatory</t>
  </si>
  <si>
    <t>Vendor Code</t>
  </si>
  <si>
    <t>Work Order No:</t>
  </si>
  <si>
    <t>SAP ID/WBS :</t>
  </si>
  <si>
    <t xml:space="preserve">                            As per Annexture</t>
  </si>
  <si>
    <t>Warehouse Location</t>
  </si>
  <si>
    <t>Declaration</t>
  </si>
  <si>
    <t>Warehouse Incharge</t>
  </si>
  <si>
    <t>Circle Project Head</t>
  </si>
  <si>
    <t>Contractor</t>
  </si>
  <si>
    <t>Remark</t>
  </si>
  <si>
    <t>Checked By Material Coordinator</t>
  </si>
  <si>
    <t>Through FC&amp;A</t>
  </si>
  <si>
    <t>Material Reconciliation Statement</t>
  </si>
  <si>
    <t>WO No</t>
  </si>
  <si>
    <t>Site ID</t>
  </si>
  <si>
    <t>WBS Code</t>
  </si>
  <si>
    <t>Material Description</t>
  </si>
  <si>
    <t>Material Code</t>
  </si>
  <si>
    <t>A.</t>
  </si>
  <si>
    <t>Received directly from Warehouse</t>
  </si>
  <si>
    <t>Material received from other contractors</t>
  </si>
  <si>
    <t>B.</t>
  </si>
  <si>
    <t>Material Transferred to other contractors</t>
  </si>
  <si>
    <t>C</t>
  </si>
  <si>
    <t>Balance ( A  -  B )</t>
  </si>
  <si>
    <t>D</t>
  </si>
  <si>
    <t>CONSUMPTION</t>
  </si>
  <si>
    <t>Annexture</t>
  </si>
  <si>
    <t>Jaipur</t>
  </si>
  <si>
    <t>KM</t>
  </si>
  <si>
    <t>Grand Total</t>
  </si>
  <si>
    <t>BOQ</t>
  </si>
  <si>
    <t>JMS</t>
  </si>
  <si>
    <t>Abstract</t>
  </si>
  <si>
    <t>Air Fiber Installation</t>
  </si>
  <si>
    <t>WO for Airspan A6 and C6 Radios for Airfiber</t>
  </si>
  <si>
    <t>CHRG EXTRA TRANSPORT. &gt; 50 KM (PICKUP</t>
  </si>
  <si>
    <t>CHRG ATP-11C - WIFI A6 DEPLOYMENT</t>
  </si>
  <si>
    <t>CHRG ATP-11A - WIFI A6 DEPLOYMENT</t>
  </si>
  <si>
    <t>M</t>
  </si>
  <si>
    <t>CHRG BASE RADIO INST&amp;COMS AZIMUTH</t>
  </si>
  <si>
    <t>SITC 1CX6 SQMM CU CBL YY FRLSH</t>
  </si>
  <si>
    <t>Item code</t>
  </si>
  <si>
    <t>A6 FIXED WIRELESS WI-FI ACCESS POINT</t>
  </si>
  <si>
    <t>R4G Project</t>
  </si>
  <si>
    <t>As per attached Detail</t>
  </si>
  <si>
    <t>Time Period</t>
  </si>
  <si>
    <t>Receipt details as confirmed by Contractor:</t>
  </si>
  <si>
    <t>Total   (1+2)</t>
  </si>
  <si>
    <t>Material Transferred to other contractors / returned to Warehouse</t>
  </si>
  <si>
    <t>Material Returned to Warehouse (in line with MRN Guidelines)</t>
  </si>
  <si>
    <t>Total</t>
  </si>
  <si>
    <t>Material Consumed</t>
  </si>
  <si>
    <t>Wastage (max as per WO norms)</t>
  </si>
  <si>
    <t>Total -Actual consumption (1+2)</t>
  </si>
  <si>
    <t>E.</t>
  </si>
  <si>
    <t xml:space="preserve">Excess consumption for which cost to be recovered from the Contractor (C-D) </t>
  </si>
  <si>
    <t xml:space="preserve">   </t>
  </si>
  <si>
    <t xml:space="preserve">CHRG TRANSPORT-UPTO 50KM-SCV-2-3SITE </t>
  </si>
  <si>
    <t>CHRG LAYING-MULTIMODE FIBER CABLE</t>
  </si>
  <si>
    <t>LAYING-2CX2.5SQMM POWER CABLE</t>
  </si>
  <si>
    <t>PMP SAP ID</t>
  </si>
  <si>
    <t>No of Sectors</t>
  </si>
  <si>
    <t>MOUNTING BRACKET</t>
  </si>
  <si>
    <t>INSTALLATION IRM KIT</t>
  </si>
  <si>
    <t>SFP MULTIMODE 1G 10 KM</t>
  </si>
  <si>
    <t>Row Labels</t>
  </si>
  <si>
    <t>ENB SITE ID</t>
  </si>
  <si>
    <t xml:space="preserve">Completion Date </t>
  </si>
  <si>
    <t>RFS DONE</t>
  </si>
  <si>
    <t>GIS SECTOR_ID</t>
  </si>
  <si>
    <t>Contractor Name: DIGITCOM INDIA TECHNOLOGIES</t>
  </si>
  <si>
    <t>DIGITCOM INDIA TECHNOLOGIES</t>
  </si>
  <si>
    <t>POWR CABLE 50 MTR</t>
  </si>
  <si>
    <t xml:space="preserve"> Fiber Patchcord MM 5M</t>
  </si>
  <si>
    <t>CHRG APPLY PUFF SEALENT AT CABLE ENTRY</t>
  </si>
  <si>
    <t>TOTAL</t>
  </si>
  <si>
    <t>TERMINATION OF CABLE 1CX6 SQMM Y</t>
  </si>
  <si>
    <t>RJIO CTO</t>
  </si>
  <si>
    <t>MR.RAJEEV KUMAR GUPTA</t>
  </si>
  <si>
    <t>ANKUSH SRIVASTAVA</t>
  </si>
  <si>
    <t>ZXZ</t>
  </si>
  <si>
    <t>ACTUAL KM</t>
  </si>
  <si>
    <t>KM IN WO</t>
  </si>
  <si>
    <t>GAP</t>
  </si>
  <si>
    <t>USED KM IN WCC</t>
  </si>
  <si>
    <t xml:space="preserve">SFP MULTIMODE 10G </t>
  </si>
  <si>
    <t>P14/630330726</t>
  </si>
  <si>
    <t xml:space="preserve">Work Order No :P14/630330726
</t>
  </si>
  <si>
    <t>JODHPUR</t>
  </si>
  <si>
    <t>Makrana</t>
  </si>
  <si>
    <t>Jalor</t>
  </si>
  <si>
    <t>This is to certify that below sites pertaining to WO/WCO No.P14/630330726 Dated in 03-10-2025 respect of Digitcom India Technologies  has  been successfully completed in all respect.</t>
  </si>
  <si>
    <t xml:space="preserve">          Work Order Dated:  03-10-2025</t>
  </si>
  <si>
    <t xml:space="preserve">          Work Order Dated: 03-10-2025</t>
  </si>
  <si>
    <t xml:space="preserve">   Work Order Dated:  03-10-2025</t>
  </si>
  <si>
    <t>I-RJ-MRTA-ENB-9036</t>
  </si>
  <si>
    <t>I-RJ-MRTA-PMP-0053</t>
  </si>
  <si>
    <t>I-RJ-MRTA-ENB-9036-3</t>
  </si>
  <si>
    <t>Nagaur</t>
  </si>
  <si>
    <t>JLJH</t>
  </si>
  <si>
    <t>RJ21GA6945</t>
  </si>
  <si>
    <t>I-RJ-DENA-ENB-6083</t>
  </si>
  <si>
    <t>I-RJ-DENA-PMP-0006</t>
  </si>
  <si>
    <t>I-RJ-DENA-ENB-6083-1</t>
  </si>
  <si>
    <t>I-RJ-PASS-ENB-9017</t>
  </si>
  <si>
    <t>I-RJ-PASS-PMP-0007</t>
  </si>
  <si>
    <t>I-RJ-PASS-ENB-9017-1</t>
  </si>
  <si>
    <t>I-RJ-PASS-ENB-9023</t>
  </si>
  <si>
    <t>I-RJ-PASS-PMP-0008</t>
  </si>
  <si>
    <t>I-RJ-PASS-ENB-9023-1</t>
  </si>
  <si>
    <t>I-RJ-KESR-ENB-V001</t>
  </si>
  <si>
    <t>I-RJ-KESR-PMP-0018</t>
  </si>
  <si>
    <t>I-RJ-KESR-ENB-V001-2</t>
  </si>
  <si>
    <t>I-RJ-DDWN-ENB-9017</t>
  </si>
  <si>
    <t>I-RJ-DDWN-PMP-0062</t>
  </si>
  <si>
    <t>I-RJ-DDWN-ENB-9017-2</t>
  </si>
  <si>
    <t>Ladnu</t>
  </si>
  <si>
    <t>I-RJ-MKRN-ENB-9035</t>
  </si>
  <si>
    <t>I-RJ-MKRN-PMP-0030</t>
  </si>
  <si>
    <t>I-RJ-MKRN-ENB-9035-1</t>
  </si>
  <si>
    <t>I-RJ-JAAW-ENB-6003</t>
  </si>
  <si>
    <t>I-RJ-JAAW-PMP-0004</t>
  </si>
  <si>
    <t>I-RJ-JAAW-ENB-6003-3</t>
  </si>
  <si>
    <t>I-RJ-JAAW-ENB-6004</t>
  </si>
  <si>
    <t>I-RJ-JAAW-PMP-0005</t>
  </si>
  <si>
    <t>I-RJ-JAAW-ENB-6004-2-3</t>
  </si>
  <si>
    <t>I-RJ-SNCE-ENB-9092</t>
  </si>
  <si>
    <t>I-RJ-SNCE-PMP-0017</t>
  </si>
  <si>
    <t>I-RJ-SNCE-ENB-9092-1-2-3</t>
  </si>
  <si>
    <t>I-RJ-BORA-ENB-6003</t>
  </si>
  <si>
    <t>I-RJ-BORA-PMP-0004</t>
  </si>
  <si>
    <t>I-RJ-BORA-ENB-6003-1</t>
  </si>
  <si>
    <t>I-RJ-BORA-ENB-9028</t>
  </si>
  <si>
    <t>I-RJ-BORA-PMP-0021</t>
  </si>
  <si>
    <t>I-RJ-BORA-ENB-9028-1</t>
  </si>
  <si>
    <t>I-RJ-BNML-ENB-9034</t>
  </si>
  <si>
    <t>I-RJ-BNML-PMP-0008</t>
  </si>
  <si>
    <t>I-RJ-BNML-ENB-9034-2</t>
  </si>
  <si>
    <t>I-RJ-JLOR-ENB-9037</t>
  </si>
  <si>
    <t>I-RJ-JLOR-PMP-0016</t>
  </si>
  <si>
    <t>I-RJ-JLOR-ENB-9037-3</t>
  </si>
  <si>
    <t>I-RJ-BAGA-ENB-6000</t>
  </si>
  <si>
    <t>I-RJ-BAGA-PMP-0001</t>
  </si>
  <si>
    <t>I-RJ-BAGA-ENB-6000-3</t>
  </si>
  <si>
    <t>I-RJ-BNML-ENB-6004</t>
  </si>
  <si>
    <t>I-RJ-BNML-PMP-0003</t>
  </si>
  <si>
    <t>I-RJ-BNML-ENB-6004-1</t>
  </si>
  <si>
    <t>I-RJ-SNCE-ENB-9008</t>
  </si>
  <si>
    <t>I-RJ-SNCE-PMP-0005</t>
  </si>
  <si>
    <t>I-RJ-SNCE-ENB-9008-2-3</t>
  </si>
  <si>
    <t>I-RJ-SNCE-ENB-9036</t>
  </si>
  <si>
    <t>I-RJ-SNCE-PMP-0013</t>
  </si>
  <si>
    <t>I-RJ-SNCE-ENB-9036-1</t>
  </si>
  <si>
    <t>I-RJ-SNCE-ENB-9076</t>
  </si>
  <si>
    <t>I-RJ-SNCE-PMP-0014</t>
  </si>
  <si>
    <t>I-RJ-SNCE-ENB-9076-3</t>
  </si>
  <si>
    <t>I-RJ-KDRD-ENB-6000</t>
  </si>
  <si>
    <t>I-RJ-KDRD-PMP-0001</t>
  </si>
  <si>
    <t>I-RJ-KDRD-ENB-6000-2</t>
  </si>
  <si>
    <t>I-RJ-SNCE-ENB-9107</t>
  </si>
  <si>
    <t>I-RJ-SNCE-PMP-0020</t>
  </si>
  <si>
    <t>I-RJ-SNCE-ENB-9107-1</t>
  </si>
  <si>
    <t>I-RJ-SNCE-ENB-9102</t>
  </si>
  <si>
    <t>I-RJ-SNCE-PMP-0019</t>
  </si>
  <si>
    <t>I-RJ-SNCE-ENB-9102-3</t>
  </si>
  <si>
    <t>We hereby certify that this Material Reconcilation Statement as on 30.03.2026  attached herein is certified and justified by Bills submited by Contractor  for given Work Done on given site as per Work Order Issued.</t>
  </si>
  <si>
    <t>EARTHING CLAMP</t>
  </si>
  <si>
    <t>CPRI CABLE 50 MTR - (MULTIMODE)</t>
  </si>
  <si>
    <t>30-JAN-26 TO 04-FEB-26</t>
  </si>
  <si>
    <t xml:space="preserve">                        Service Done From Date: 30-01-26</t>
  </si>
  <si>
    <t xml:space="preserve">                   Service Done To Date: 04-02-26</t>
  </si>
  <si>
    <t xml:space="preserve"> MR. YUNUS KHAN</t>
  </si>
  <si>
    <t xml:space="preserve">                                                                     MR. YUNUS KHAN</t>
  </si>
  <si>
    <t xml:space="preserve">                                                                MR. YUNUS KHAN</t>
  </si>
  <si>
    <t>22 SITES</t>
  </si>
  <si>
    <t>22 SITES(A6)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</si>
</sst>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
  </numFmts>
  <fonts count="66" x14ac:knownFonts="1">
    <font>
      <sz val="11"/>
      <color theme="1"/>
      <name val="Calibri"/>
      <family val="2"/>
      <scheme val="minor"/>
    </font>
    <font>
      <sz val="10"/>
      <name val="Arial"/>
      <family val="2"/>
    </font>
    <font>
      <sz val="10"/>
      <color theme="1"/>
      <name val="Verdana"/>
      <family val="2"/>
    </font>
    <font>
      <sz val="12"/>
      <color theme="1"/>
      <name val="Verdana"/>
      <family val="2"/>
    </font>
    <font>
      <sz val="14"/>
      <color theme="1"/>
      <name val="Verdana"/>
      <family val="2"/>
    </font>
    <font>
      <sz val="18"/>
      <color theme="1"/>
      <name val="Verdana"/>
      <family val="2"/>
    </font>
    <font>
      <sz val="20"/>
      <color theme="1"/>
      <name val="Verdana"/>
      <family val="2"/>
    </font>
    <font>
      <b/>
      <sz val="11"/>
      <color theme="1"/>
      <name val="Calibri"/>
      <family val="2"/>
      <scheme val="minor"/>
    </font>
    <font>
      <b/>
      <u/>
      <sz val="18"/>
      <color theme="1"/>
      <name val="Calibri"/>
      <family val="2"/>
      <scheme val="minor"/>
    </font>
    <font>
      <b/>
      <u/>
      <sz val="14"/>
      <color theme="1"/>
      <name val="Calibri"/>
      <family val="2"/>
      <scheme val="minor"/>
    </font>
    <font>
      <b/>
      <sz val="14"/>
      <color theme="1"/>
      <name val="Calibri"/>
      <family val="2"/>
      <scheme val="minor"/>
    </font>
    <font>
      <b/>
      <u/>
      <sz val="11"/>
      <color theme="1"/>
      <name val="Calibri"/>
      <family val="2"/>
      <scheme val="minor"/>
    </font>
    <font>
      <b/>
      <sz val="8"/>
      <color theme="1"/>
      <name val="Calibri"/>
      <family val="2"/>
      <scheme val="minor"/>
    </font>
    <font>
      <b/>
      <sz val="12"/>
      <color theme="1"/>
      <name val="Calibri"/>
      <family val="2"/>
      <scheme val="minor"/>
    </font>
    <font>
      <b/>
      <sz val="16"/>
      <color theme="1"/>
      <name val="Calibri"/>
      <family val="2"/>
      <scheme val="minor"/>
    </font>
    <font>
      <sz val="16"/>
      <color theme="1"/>
      <name val="Verdana"/>
      <family val="2"/>
    </font>
    <font>
      <sz val="16"/>
      <color theme="1"/>
      <name val="Calibri"/>
      <family val="2"/>
      <scheme val="minor"/>
    </font>
    <font>
      <b/>
      <sz val="22"/>
      <name val="Calibri"/>
      <family val="2"/>
      <scheme val="minor"/>
    </font>
    <font>
      <b/>
      <sz val="24"/>
      <color theme="1"/>
      <name val="Calibri"/>
      <family val="2"/>
      <scheme val="minor"/>
    </font>
    <font>
      <b/>
      <sz val="22"/>
      <color theme="1"/>
      <name val="Calibri"/>
      <family val="2"/>
      <scheme val="minor"/>
    </font>
    <font>
      <b/>
      <sz val="36"/>
      <color theme="1"/>
      <name val="Calibri"/>
      <family val="2"/>
      <scheme val="minor"/>
    </font>
    <font>
      <b/>
      <sz val="36"/>
      <color rgb="FF000000"/>
      <name val="Calibri"/>
      <family val="2"/>
      <scheme val="minor"/>
    </font>
    <font>
      <b/>
      <sz val="48"/>
      <color theme="1"/>
      <name val="Calibri"/>
      <family val="2"/>
      <scheme val="minor"/>
    </font>
    <font>
      <b/>
      <sz val="48"/>
      <color rgb="FF000000"/>
      <name val="Calibri"/>
      <family val="2"/>
      <scheme val="minor"/>
    </font>
    <font>
      <sz val="48"/>
      <color theme="1"/>
      <name val="Verdana"/>
      <family val="2"/>
    </font>
    <font>
      <b/>
      <sz val="36"/>
      <name val="Calibri"/>
      <family val="2"/>
      <scheme val="minor"/>
    </font>
    <font>
      <b/>
      <u/>
      <sz val="48"/>
      <color theme="1"/>
      <name val="Calibri"/>
      <family val="2"/>
      <scheme val="minor"/>
    </font>
    <font>
      <b/>
      <sz val="48"/>
      <color theme="1"/>
      <name val="Verdana"/>
      <family val="2"/>
    </font>
    <font>
      <b/>
      <i/>
      <u/>
      <sz val="48"/>
      <color theme="1"/>
      <name val="Verdana"/>
      <family val="2"/>
    </font>
    <font>
      <sz val="36"/>
      <color theme="1"/>
      <name val="Calibri"/>
      <family val="2"/>
      <scheme val="minor"/>
    </font>
    <font>
      <sz val="11"/>
      <color theme="1"/>
      <name val="Calibri"/>
      <family val="2"/>
      <scheme val="minor"/>
    </font>
    <font>
      <b/>
      <sz val="14"/>
      <name val="Tahoma"/>
      <family val="2"/>
    </font>
    <font>
      <b/>
      <sz val="10"/>
      <name val="Tahoma"/>
      <family val="2"/>
    </font>
    <font>
      <b/>
      <sz val="11"/>
      <name val="Arial"/>
      <family val="2"/>
    </font>
    <font>
      <b/>
      <sz val="14"/>
      <name val="Arial"/>
      <family val="2"/>
    </font>
    <font>
      <b/>
      <sz val="10"/>
      <name val="Arial"/>
      <family val="2"/>
    </font>
    <font>
      <b/>
      <sz val="9"/>
      <name val="Tahoma"/>
      <family val="2"/>
    </font>
    <font>
      <sz val="9"/>
      <name val="Tahoma"/>
      <family val="2"/>
    </font>
    <font>
      <sz val="11"/>
      <name val="Calibri"/>
      <family val="2"/>
      <scheme val="minor"/>
    </font>
    <font>
      <b/>
      <i/>
      <sz val="9"/>
      <name val="Arial"/>
      <family val="2"/>
    </font>
    <font>
      <sz val="24"/>
      <color rgb="FF000000"/>
      <name val="Calibri"/>
      <family val="2"/>
      <scheme val="minor"/>
    </font>
    <font>
      <b/>
      <sz val="24"/>
      <color indexed="8"/>
      <name val="Calibri"/>
      <family val="2"/>
      <scheme val="minor"/>
    </font>
    <font>
      <b/>
      <sz val="12"/>
      <name val="Calibri"/>
      <family val="2"/>
      <scheme val="minor"/>
    </font>
    <font>
      <sz val="12"/>
      <color theme="1"/>
      <name val="Calibri"/>
      <family val="2"/>
      <scheme val="minor"/>
    </font>
    <font>
      <sz val="12"/>
      <name val="Calibri"/>
      <family val="2"/>
      <scheme val="minor"/>
    </font>
    <font>
      <b/>
      <sz val="12"/>
      <color indexed="10"/>
      <name val="Calibri"/>
      <family val="2"/>
      <scheme val="minor"/>
    </font>
    <font>
      <b/>
      <sz val="34"/>
      <color rgb="FF000000"/>
      <name val="Calibri"/>
      <family val="2"/>
      <scheme val="minor"/>
    </font>
    <font>
      <sz val="48"/>
      <color theme="1"/>
      <name val="Calibri"/>
      <family val="2"/>
      <scheme val="minor"/>
    </font>
    <font>
      <b/>
      <sz val="9"/>
      <color theme="1"/>
      <name val="Calibri"/>
      <family val="2"/>
      <scheme val="minor"/>
    </font>
    <font>
      <b/>
      <sz val="9"/>
      <color theme="1"/>
      <name val="Calibri"/>
      <family val="2"/>
    </font>
    <font>
      <b/>
      <sz val="11"/>
      <name val="Calibri"/>
      <family val="2"/>
      <scheme val="minor"/>
    </font>
    <font>
      <b/>
      <sz val="40"/>
      <color theme="1"/>
      <name val="Calibri"/>
      <family val="2"/>
      <scheme val="minor"/>
    </font>
    <font>
      <b/>
      <sz val="40"/>
      <color rgb="FF000000"/>
      <name val="Calibri"/>
      <family val="2"/>
      <scheme val="minor"/>
    </font>
    <font>
      <b/>
      <sz val="40"/>
      <name val="Calibri"/>
      <family val="2"/>
      <scheme val="minor"/>
    </font>
    <font>
      <b/>
      <sz val="40"/>
      <color theme="1"/>
      <name val="Verdana"/>
      <family val="2"/>
    </font>
    <font>
      <sz val="36"/>
      <color theme="1"/>
      <name val="Verdana"/>
      <family val="2"/>
    </font>
    <font>
      <sz val="35"/>
      <color theme="1"/>
      <name val="Verdana"/>
      <family val="2"/>
    </font>
    <font>
      <b/>
      <sz val="35"/>
      <name val="Verdana"/>
      <family val="2"/>
    </font>
    <font>
      <sz val="33"/>
      <color theme="1"/>
      <name val="Verdana"/>
      <family val="2"/>
    </font>
    <font>
      <sz val="42"/>
      <color theme="1"/>
      <name val="Calibri"/>
      <family val="2"/>
      <scheme val="minor"/>
    </font>
    <font>
      <b/>
      <sz val="42"/>
      <color theme="1"/>
      <name val="Calibri"/>
      <family val="2"/>
      <scheme val="minor"/>
    </font>
    <font>
      <b/>
      <sz val="22"/>
      <color rgb="FF000000"/>
      <name val="Calibri"/>
      <family val="2"/>
      <scheme val="minor"/>
    </font>
    <font>
      <sz val="42"/>
      <name val="Calibri"/>
      <family val="2"/>
      <scheme val="minor"/>
    </font>
    <font>
      <sz val="24"/>
      <color theme="1"/>
      <name val="Calibri"/>
      <family val="2"/>
      <scheme val="minor"/>
    </font>
    <font>
      <b/>
      <sz val="24"/>
      <color theme="1"/>
      <name val="Calibri"/>
      <family val="2"/>
    </font>
    <font>
      <sz val="24"/>
      <color theme="1"/>
      <name val="Verdana"/>
      <family val="2"/>
    </font>
  </fonts>
  <fills count="17">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bgColor indexed="64"/>
      </patternFill>
    </fill>
    <fill>
      <patternFill patternType="solid">
        <fgColor indexed="44"/>
        <bgColor indexed="22"/>
      </patternFill>
    </fill>
    <fill>
      <patternFill patternType="solid">
        <fgColor indexed="31"/>
        <bgColor indexed="22"/>
      </patternFill>
    </fill>
    <fill>
      <patternFill patternType="solid">
        <fgColor indexed="42"/>
        <bgColor indexed="47"/>
      </patternFill>
    </fill>
    <fill>
      <patternFill patternType="solid">
        <fgColor indexed="22"/>
        <bgColor indexed="31"/>
      </patternFill>
    </fill>
    <fill>
      <patternFill patternType="solid">
        <fgColor indexed="47"/>
        <bgColor indexed="42"/>
      </patternFill>
    </fill>
    <fill>
      <patternFill patternType="solid">
        <fgColor indexed="13"/>
        <bgColor indexed="34"/>
      </patternFill>
    </fill>
  </fills>
  <borders count="71">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top style="thin">
        <color indexed="64"/>
      </top>
      <bottom style="thin">
        <color indexed="64"/>
      </bottom>
      <diagonal/>
    </border>
    <border>
      <left/>
      <right/>
      <top/>
      <bottom style="mediumDashed">
        <color indexed="64"/>
      </bottom>
      <diagonal/>
    </border>
    <border>
      <left/>
      <right style="medium">
        <color auto="1"/>
      </right>
      <top/>
      <bottom style="mediumDashed">
        <color indexed="64"/>
      </bottom>
      <diagonal/>
    </border>
    <border>
      <left/>
      <right/>
      <top style="double">
        <color indexed="64"/>
      </top>
      <bottom/>
      <diagonal/>
    </border>
    <border>
      <left/>
      <right style="medium">
        <color indexed="64"/>
      </right>
      <top style="double">
        <color indexed="64"/>
      </top>
      <bottom/>
      <diagonal/>
    </border>
    <border>
      <left style="medium">
        <color indexed="64"/>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64"/>
      </right>
      <top style="medium">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medium">
        <color indexed="64"/>
      </right>
      <top style="thin">
        <color indexed="8"/>
      </top>
      <bottom/>
      <diagonal/>
    </border>
    <border>
      <left style="medium">
        <color indexed="64"/>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medium">
        <color indexed="64"/>
      </left>
      <right/>
      <top/>
      <bottom style="thin">
        <color indexed="8"/>
      </bottom>
      <diagonal/>
    </border>
    <border>
      <left/>
      <right style="thin">
        <color indexed="8"/>
      </right>
      <top/>
      <bottom style="thin">
        <color indexed="8"/>
      </bottom>
      <diagonal/>
    </border>
    <border>
      <left style="medium">
        <color indexed="64"/>
      </left>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medium">
        <color indexed="64"/>
      </right>
      <top/>
      <bottom style="thin">
        <color indexed="8"/>
      </bottom>
      <diagonal/>
    </border>
    <border>
      <left/>
      <right style="medium">
        <color indexed="64"/>
      </right>
      <top style="thin">
        <color indexed="8"/>
      </top>
      <bottom style="thin">
        <color indexed="8"/>
      </bottom>
      <diagonal/>
    </border>
    <border>
      <left style="medium">
        <color indexed="64"/>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64"/>
      </left>
      <right style="thin">
        <color indexed="8"/>
      </right>
      <top style="thin">
        <color indexed="8"/>
      </top>
      <bottom style="medium">
        <color indexed="64"/>
      </bottom>
      <diagonal/>
    </border>
    <border>
      <left style="medium">
        <color indexed="8"/>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double">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 fillId="0" borderId="0"/>
    <xf numFmtId="0" fontId="1" fillId="0" borderId="0"/>
    <xf numFmtId="0" fontId="1" fillId="0" borderId="0">
      <alignment vertical="top"/>
    </xf>
  </cellStyleXfs>
  <cellXfs count="397">
    <xf numFmtId="0" fontId="0" fillId="0" borderId="0" xfId="0"/>
    <xf numFmtId="0" fontId="2" fillId="0" borderId="0" xfId="0" applyFont="1"/>
    <xf numFmtId="0" fontId="3" fillId="0" borderId="0" xfId="0" applyFont="1"/>
    <xf numFmtId="0" fontId="3" fillId="0" borderId="0" xfId="0" applyFont="1" applyAlignment="1">
      <alignment horizontal="left"/>
    </xf>
    <xf numFmtId="0" fontId="4" fillId="0" borderId="0" xfId="0" applyFont="1"/>
    <xf numFmtId="0" fontId="5" fillId="0" borderId="0" xfId="0" applyFont="1"/>
    <xf numFmtId="0" fontId="6" fillId="0" borderId="0" xfId="0" applyFont="1"/>
    <xf numFmtId="0" fontId="7" fillId="0" borderId="6" xfId="0" applyFont="1" applyBorder="1" applyAlignment="1">
      <alignment horizontal="center" vertical="center"/>
    </xf>
    <xf numFmtId="0" fontId="7" fillId="0" borderId="7" xfId="0" applyFont="1" applyBorder="1"/>
    <xf numFmtId="0" fontId="7" fillId="0" borderId="7" xfId="0" applyFont="1" applyBorder="1" applyAlignment="1">
      <alignment horizontal="center"/>
    </xf>
    <xf numFmtId="0" fontId="7" fillId="0" borderId="8" xfId="0" applyFont="1" applyBorder="1"/>
    <xf numFmtId="0" fontId="7" fillId="0" borderId="0" xfId="0" applyFont="1"/>
    <xf numFmtId="0" fontId="7" fillId="0" borderId="9" xfId="0" applyFont="1" applyBorder="1" applyAlignment="1">
      <alignment horizontal="center" vertical="center"/>
    </xf>
    <xf numFmtId="0" fontId="7" fillId="0" borderId="0" xfId="0" applyFont="1" applyAlignment="1">
      <alignment horizontal="center"/>
    </xf>
    <xf numFmtId="0" fontId="7" fillId="0" borderId="10" xfId="0" applyFont="1" applyBorder="1"/>
    <xf numFmtId="0" fontId="8" fillId="0" borderId="0" xfId="0" applyFont="1" applyAlignment="1">
      <alignment vertical="center"/>
    </xf>
    <xf numFmtId="0" fontId="7" fillId="0" borderId="12" xfId="0" applyFont="1" applyBorder="1" applyAlignment="1">
      <alignment horizontal="center" vertical="center"/>
    </xf>
    <xf numFmtId="0" fontId="7" fillId="0" borderId="3" xfId="0" applyFont="1" applyBorder="1"/>
    <xf numFmtId="0" fontId="7" fillId="0" borderId="3" xfId="0" applyFont="1" applyBorder="1" applyAlignment="1">
      <alignment horizontal="center"/>
    </xf>
    <xf numFmtId="0" fontId="7" fillId="0" borderId="2" xfId="0" applyFont="1" applyBorder="1"/>
    <xf numFmtId="0" fontId="10" fillId="0" borderId="7" xfId="0" applyFont="1" applyBorder="1" applyAlignment="1">
      <alignment horizontal="center"/>
    </xf>
    <xf numFmtId="0" fontId="7" fillId="0" borderId="10" xfId="0"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9" xfId="0" applyFont="1" applyBorder="1" applyAlignment="1">
      <alignment vertical="center"/>
    </xf>
    <xf numFmtId="0" fontId="7" fillId="0" borderId="0" xfId="0" applyFont="1" applyAlignment="1">
      <alignment horizontal="left"/>
    </xf>
    <xf numFmtId="0" fontId="7" fillId="0" borderId="10" xfId="0" applyFont="1" applyBorder="1" applyAlignment="1">
      <alignment horizontal="left"/>
    </xf>
    <xf numFmtId="0" fontId="12" fillId="0" borderId="0" xfId="0" applyFont="1" applyAlignment="1">
      <alignment horizontal="center" vertical="top"/>
    </xf>
    <xf numFmtId="0" fontId="13" fillId="0" borderId="0" xfId="0" applyFont="1"/>
    <xf numFmtId="0" fontId="13" fillId="0" borderId="9" xfId="0" applyFont="1" applyBorder="1" applyAlignment="1">
      <alignment horizontal="center" vertical="center"/>
    </xf>
    <xf numFmtId="0" fontId="13" fillId="0" borderId="10" xfId="0" applyFont="1" applyBorder="1"/>
    <xf numFmtId="0" fontId="7" fillId="0" borderId="19" xfId="0" applyFont="1" applyBorder="1"/>
    <xf numFmtId="0" fontId="11" fillId="0" borderId="0" xfId="0" applyFont="1"/>
    <xf numFmtId="0" fontId="7" fillId="0" borderId="20" xfId="0" applyFont="1" applyBorder="1"/>
    <xf numFmtId="0" fontId="12" fillId="0" borderId="12" xfId="0" applyFont="1" applyBorder="1" applyAlignment="1">
      <alignment horizontal="center" vertical="center"/>
    </xf>
    <xf numFmtId="0" fontId="12" fillId="0" borderId="3" xfId="0" applyFont="1" applyBorder="1"/>
    <xf numFmtId="0" fontId="12" fillId="0" borderId="3" xfId="0" applyFont="1" applyBorder="1" applyAlignment="1">
      <alignment horizontal="center"/>
    </xf>
    <xf numFmtId="0" fontId="12" fillId="0" borderId="2" xfId="0" applyFont="1" applyBorder="1"/>
    <xf numFmtId="0" fontId="12" fillId="0" borderId="0" xfId="0" applyFont="1"/>
    <xf numFmtId="0" fontId="14" fillId="0" borderId="0" xfId="0" applyFont="1"/>
    <xf numFmtId="0" fontId="14" fillId="0" borderId="10" xfId="0" applyFont="1" applyBorder="1"/>
    <xf numFmtId="0" fontId="16" fillId="0" borderId="0" xfId="0" applyFont="1" applyAlignment="1">
      <alignment horizontal="left"/>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7" fillId="0" borderId="0" xfId="0" applyFont="1" applyAlignment="1">
      <alignment vertical="top"/>
    </xf>
    <xf numFmtId="0" fontId="19" fillId="0" borderId="6" xfId="0" applyFont="1" applyBorder="1" applyAlignment="1">
      <alignment horizontal="center"/>
    </xf>
    <xf numFmtId="0" fontId="19" fillId="0" borderId="7" xfId="0" applyFont="1" applyBorder="1"/>
    <xf numFmtId="0" fontId="19" fillId="0" borderId="0" xfId="0" applyFont="1"/>
    <xf numFmtId="0" fontId="19" fillId="0" borderId="10" xfId="0" applyFont="1" applyBorder="1"/>
    <xf numFmtId="0" fontId="19" fillId="0" borderId="0" xfId="0" applyFont="1" applyAlignment="1">
      <alignment horizontal="left"/>
    </xf>
    <xf numFmtId="0" fontId="19" fillId="0" borderId="9" xfId="0" applyFont="1" applyBorder="1" applyAlignment="1">
      <alignment horizontal="center"/>
    </xf>
    <xf numFmtId="0" fontId="18" fillId="0" borderId="9" xfId="0" applyFont="1" applyBorder="1"/>
    <xf numFmtId="0" fontId="18" fillId="0" borderId="0" xfId="0" applyFont="1" applyAlignment="1">
      <alignment horizontal="left"/>
    </xf>
    <xf numFmtId="0" fontId="18" fillId="0" borderId="0" xfId="0" applyFont="1"/>
    <xf numFmtId="0" fontId="18" fillId="0" borderId="10" xfId="0" applyFont="1" applyBorder="1"/>
    <xf numFmtId="0" fontId="18" fillId="0" borderId="12" xfId="0" applyFont="1" applyBorder="1"/>
    <xf numFmtId="0" fontId="18" fillId="0" borderId="3" xfId="0" applyFont="1" applyBorder="1" applyAlignment="1">
      <alignment horizontal="left"/>
    </xf>
    <xf numFmtId="0" fontId="18" fillId="0" borderId="3" xfId="0" applyFont="1" applyBorder="1"/>
    <xf numFmtId="0" fontId="18" fillId="0" borderId="2" xfId="0" applyFont="1" applyBorder="1"/>
    <xf numFmtId="0" fontId="3" fillId="0" borderId="10" xfId="0" applyFont="1" applyBorder="1"/>
    <xf numFmtId="0" fontId="22" fillId="0" borderId="9" xfId="0" applyFont="1" applyBorder="1"/>
    <xf numFmtId="0" fontId="22" fillId="0" borderId="0" xfId="0" applyFont="1"/>
    <xf numFmtId="0" fontId="24" fillId="0" borderId="0" xfId="0" applyFont="1"/>
    <xf numFmtId="0" fontId="22" fillId="0" borderId="0" xfId="0" applyFont="1" applyAlignment="1">
      <alignment horizontal="center"/>
    </xf>
    <xf numFmtId="0" fontId="22" fillId="0" borderId="10" xfId="0" applyFont="1" applyBorder="1"/>
    <xf numFmtId="0" fontId="25" fillId="0" borderId="9" xfId="0" applyFont="1" applyBorder="1" applyAlignment="1">
      <alignment vertical="top"/>
    </xf>
    <xf numFmtId="0" fontId="20" fillId="0" borderId="9" xfId="0" applyFont="1" applyBorder="1"/>
    <xf numFmtId="0" fontId="27" fillId="0" borderId="9" xfId="0" applyFont="1" applyBorder="1" applyAlignment="1">
      <alignment horizontal="center" vertical="center"/>
    </xf>
    <xf numFmtId="0" fontId="27" fillId="0" borderId="0" xfId="0" applyFont="1" applyAlignment="1">
      <alignment horizontal="center" vertical="center"/>
    </xf>
    <xf numFmtId="0" fontId="24" fillId="0" borderId="0" xfId="0" applyFont="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24" fillId="0" borderId="3" xfId="0" applyFont="1" applyBorder="1" applyAlignment="1">
      <alignment horizontal="center" vertical="center"/>
    </xf>
    <xf numFmtId="0" fontId="24" fillId="0" borderId="2" xfId="0" applyFont="1" applyBorder="1" applyAlignment="1">
      <alignment horizontal="center" vertical="center"/>
    </xf>
    <xf numFmtId="0" fontId="1" fillId="0" borderId="26" xfId="2" applyBorder="1"/>
    <xf numFmtId="0" fontId="0" fillId="0" borderId="0" xfId="0" applyAlignment="1">
      <alignment horizontal="left"/>
    </xf>
    <xf numFmtId="0" fontId="16" fillId="0" borderId="9" xfId="0" applyFont="1" applyBorder="1"/>
    <xf numFmtId="0" fontId="16" fillId="0" borderId="10" xfId="0" applyFont="1" applyBorder="1"/>
    <xf numFmtId="0" fontId="19" fillId="0" borderId="7" xfId="0" applyFont="1" applyBorder="1" applyAlignment="1">
      <alignment horizontal="center"/>
    </xf>
    <xf numFmtId="0" fontId="17" fillId="0" borderId="0" xfId="0" applyFont="1" applyAlignment="1">
      <alignment horizontal="center" vertical="top"/>
    </xf>
    <xf numFmtId="0" fontId="19" fillId="0" borderId="0" xfId="0" applyFont="1" applyAlignment="1">
      <alignment horizontal="center"/>
    </xf>
    <xf numFmtId="0" fontId="16" fillId="0" borderId="0" xfId="0" applyFont="1" applyAlignment="1">
      <alignment horizontal="center"/>
    </xf>
    <xf numFmtId="0" fontId="18" fillId="0" borderId="0" xfId="0" applyFont="1" applyAlignment="1">
      <alignment horizontal="center"/>
    </xf>
    <xf numFmtId="0" fontId="18" fillId="0" borderId="3" xfId="0" applyFont="1" applyBorder="1" applyAlignment="1">
      <alignment horizontal="center"/>
    </xf>
    <xf numFmtId="0" fontId="3" fillId="0" borderId="0" xfId="0" applyFont="1" applyAlignment="1">
      <alignment horizontal="center"/>
    </xf>
    <xf numFmtId="0" fontId="4" fillId="0" borderId="6" xfId="0" applyFont="1" applyBorder="1"/>
    <xf numFmtId="0" fontId="4" fillId="0" borderId="7" xfId="0" applyFont="1" applyBorder="1"/>
    <xf numFmtId="0" fontId="4" fillId="0" borderId="8" xfId="0" applyFont="1" applyBorder="1"/>
    <xf numFmtId="0" fontId="0" fillId="0" borderId="0" xfId="0" applyAlignment="1">
      <alignment vertical="center"/>
    </xf>
    <xf numFmtId="0" fontId="4" fillId="0" borderId="60" xfId="0" applyFont="1" applyBorder="1" applyAlignment="1">
      <alignment horizontal="center" vertical="center"/>
    </xf>
    <xf numFmtId="0" fontId="3" fillId="0" borderId="0" xfId="0" applyFont="1" applyAlignment="1">
      <alignment vertical="center"/>
    </xf>
    <xf numFmtId="0" fontId="7" fillId="0" borderId="9" xfId="0" applyFont="1" applyBorder="1"/>
    <xf numFmtId="0" fontId="13" fillId="0" borderId="0" xfId="0" applyFont="1" applyAlignment="1">
      <alignment horizontal="center"/>
    </xf>
    <xf numFmtId="0" fontId="44" fillId="0" borderId="11" xfId="2" applyFont="1" applyBorder="1"/>
    <xf numFmtId="0" fontId="44" fillId="0" borderId="14" xfId="2" applyFont="1" applyBorder="1" applyAlignment="1">
      <alignment horizontal="center" vertical="center"/>
    </xf>
    <xf numFmtId="0" fontId="42" fillId="0" borderId="11" xfId="2" applyFont="1" applyBorder="1" applyAlignment="1">
      <alignment horizontal="center" vertical="center" wrapText="1"/>
    </xf>
    <xf numFmtId="0" fontId="42" fillId="0" borderId="14" xfId="2" applyFont="1" applyBorder="1" applyAlignment="1">
      <alignment horizontal="center" vertical="center" wrapText="1"/>
    </xf>
    <xf numFmtId="0" fontId="7" fillId="0" borderId="11" xfId="0" applyFont="1" applyBorder="1" applyAlignment="1">
      <alignment horizontal="center" vertical="center"/>
    </xf>
    <xf numFmtId="0" fontId="44" fillId="0" borderId="14" xfId="2" applyFont="1" applyBorder="1" applyAlignment="1">
      <alignment horizontal="center" vertical="center" wrapText="1"/>
    </xf>
    <xf numFmtId="0" fontId="44" fillId="0" borderId="11" xfId="2" applyFont="1" applyBorder="1" applyAlignment="1">
      <alignment horizontal="center" vertical="center" wrapText="1"/>
    </xf>
    <xf numFmtId="0" fontId="44" fillId="0" borderId="11" xfId="2" applyFont="1" applyBorder="1" applyAlignment="1">
      <alignment horizontal="center" vertical="center" textRotation="90" wrapText="1"/>
    </xf>
    <xf numFmtId="0" fontId="44" fillId="11" borderId="14" xfId="2" applyFont="1" applyFill="1" applyBorder="1" applyAlignment="1">
      <alignment horizontal="center" vertical="center" wrapText="1"/>
    </xf>
    <xf numFmtId="0" fontId="45" fillId="11" borderId="11" xfId="2" applyFont="1" applyFill="1" applyBorder="1" applyAlignment="1">
      <alignment horizontal="center" vertical="center" wrapText="1"/>
    </xf>
    <xf numFmtId="0" fontId="44" fillId="12" borderId="14" xfId="2" applyFont="1" applyFill="1" applyBorder="1" applyAlignment="1">
      <alignment horizontal="center" vertical="center" wrapText="1"/>
    </xf>
    <xf numFmtId="0" fontId="42" fillId="12" borderId="11" xfId="2" applyFont="1" applyFill="1" applyBorder="1" applyAlignment="1">
      <alignment horizontal="center" vertical="center" wrapText="1"/>
    </xf>
    <xf numFmtId="0" fontId="44" fillId="13" borderId="14" xfId="2" applyFont="1" applyFill="1" applyBorder="1" applyAlignment="1">
      <alignment horizontal="center" vertical="center" wrapText="1"/>
    </xf>
    <xf numFmtId="0" fontId="45" fillId="13" borderId="11" xfId="2" applyFont="1" applyFill="1" applyBorder="1" applyAlignment="1">
      <alignment horizontal="center" vertical="center" wrapText="1"/>
    </xf>
    <xf numFmtId="0" fontId="44" fillId="14" borderId="14" xfId="2" applyFont="1" applyFill="1" applyBorder="1" applyAlignment="1">
      <alignment horizontal="center" vertical="center" wrapText="1"/>
    </xf>
    <xf numFmtId="0" fontId="42" fillId="14" borderId="11" xfId="2" applyFont="1" applyFill="1" applyBorder="1" applyAlignment="1">
      <alignment horizontal="center" vertical="center" wrapText="1"/>
    </xf>
    <xf numFmtId="0" fontId="42" fillId="15" borderId="14" xfId="2" applyFont="1" applyFill="1" applyBorder="1" applyAlignment="1">
      <alignment horizontal="center" vertical="center" wrapText="1"/>
    </xf>
    <xf numFmtId="0" fontId="42" fillId="15" borderId="11" xfId="2" applyFont="1" applyFill="1" applyBorder="1" applyAlignment="1">
      <alignment horizontal="center" vertical="center" wrapText="1"/>
    </xf>
    <xf numFmtId="0" fontId="42" fillId="16" borderId="14" xfId="2" applyFont="1" applyFill="1" applyBorder="1" applyAlignment="1">
      <alignment horizontal="center" vertical="center" wrapText="1"/>
    </xf>
    <xf numFmtId="0" fontId="42" fillId="16" borderId="11" xfId="2" applyFont="1" applyFill="1" applyBorder="1" applyAlignment="1">
      <alignment horizontal="center" vertical="center" wrapText="1"/>
    </xf>
    <xf numFmtId="0" fontId="44" fillId="14" borderId="11" xfId="2" applyFont="1" applyFill="1" applyBorder="1" applyAlignment="1">
      <alignment horizontal="center" vertical="center" wrapText="1"/>
    </xf>
    <xf numFmtId="0" fontId="42" fillId="0" borderId="61" xfId="2" applyFont="1" applyBorder="1" applyAlignment="1">
      <alignment horizontal="center" vertical="center" wrapText="1"/>
    </xf>
    <xf numFmtId="0" fontId="42" fillId="0" borderId="59" xfId="2" applyFont="1" applyBorder="1" applyAlignment="1">
      <alignment horizontal="center" vertical="center" wrapText="1"/>
    </xf>
    <xf numFmtId="0" fontId="25" fillId="0" borderId="0" xfId="0" applyFont="1" applyAlignment="1">
      <alignment vertical="top"/>
    </xf>
    <xf numFmtId="0" fontId="15" fillId="0" borderId="6" xfId="0" applyFont="1" applyBorder="1"/>
    <xf numFmtId="0" fontId="15" fillId="0" borderId="7" xfId="0" applyFont="1" applyBorder="1" applyAlignment="1">
      <alignment horizontal="left"/>
    </xf>
    <xf numFmtId="0" fontId="15" fillId="0" borderId="7" xfId="0" applyFont="1" applyBorder="1" applyAlignment="1">
      <alignment horizontal="center"/>
    </xf>
    <xf numFmtId="0" fontId="15" fillId="0" borderId="7" xfId="0" applyFont="1" applyBorder="1"/>
    <xf numFmtId="0" fontId="15" fillId="0" borderId="8" xfId="0" applyFont="1" applyBorder="1"/>
    <xf numFmtId="0" fontId="15" fillId="0" borderId="9" xfId="0" applyFont="1" applyBorder="1"/>
    <xf numFmtId="0" fontId="15" fillId="0" borderId="0" xfId="0" applyFont="1" applyAlignment="1">
      <alignment horizontal="left"/>
    </xf>
    <xf numFmtId="0" fontId="15" fillId="0" borderId="0" xfId="0" applyFont="1" applyAlignment="1">
      <alignment horizontal="center"/>
    </xf>
    <xf numFmtId="0" fontId="15" fillId="0" borderId="0" xfId="0" applyFont="1"/>
    <xf numFmtId="0" fontId="15" fillId="0" borderId="10" xfId="0" applyFont="1" applyBorder="1"/>
    <xf numFmtId="0" fontId="47" fillId="0" borderId="0" xfId="0" applyFont="1"/>
    <xf numFmtId="0" fontId="22" fillId="0" borderId="0" xfId="0" applyFont="1" applyAlignment="1">
      <alignment horizontal="left" vertical="center"/>
    </xf>
    <xf numFmtId="0" fontId="47" fillId="0" borderId="10" xfId="0" applyFont="1" applyBorder="1"/>
    <xf numFmtId="0" fontId="22" fillId="0" borderId="10" xfId="0" applyFont="1" applyBorder="1" applyAlignment="1">
      <alignment horizontal="left" vertical="center"/>
    </xf>
    <xf numFmtId="0" fontId="2" fillId="0" borderId="10" xfId="0" applyFont="1" applyBorder="1"/>
    <xf numFmtId="0" fontId="22" fillId="0" borderId="10" xfId="0" applyFont="1" applyBorder="1" applyAlignment="1">
      <alignment horizontal="center"/>
    </xf>
    <xf numFmtId="0" fontId="19" fillId="0" borderId="0" xfId="0" applyFont="1" applyBorder="1" applyAlignment="1">
      <alignment horizontal="center"/>
    </xf>
    <xf numFmtId="0" fontId="48" fillId="0" borderId="11" xfId="0" applyFont="1" applyBorder="1" applyAlignment="1">
      <alignment horizontal="center" vertical="center" wrapText="1"/>
    </xf>
    <xf numFmtId="0" fontId="22" fillId="0" borderId="0" xfId="0" applyFont="1" applyBorder="1"/>
    <xf numFmtId="0" fontId="22" fillId="0" borderId="0" xfId="0" applyFont="1" applyBorder="1" applyAlignment="1">
      <alignment horizontal="center"/>
    </xf>
    <xf numFmtId="0" fontId="47" fillId="0" borderId="0" xfId="0" applyFont="1" applyBorder="1"/>
    <xf numFmtId="0" fontId="22" fillId="0" borderId="0" xfId="0" applyFont="1" applyBorder="1" applyAlignment="1">
      <alignment horizontal="left" vertical="center"/>
    </xf>
    <xf numFmtId="0" fontId="18" fillId="0" borderId="0" xfId="0" applyFont="1" applyBorder="1" applyAlignment="1">
      <alignment horizontal="center"/>
    </xf>
    <xf numFmtId="0" fontId="7" fillId="0" borderId="0" xfId="0" applyFont="1"/>
    <xf numFmtId="0" fontId="16" fillId="0" borderId="0" xfId="0" applyFont="1" applyBorder="1"/>
    <xf numFmtId="0" fontId="14" fillId="0" borderId="0" xfId="0" applyFont="1" applyBorder="1"/>
    <xf numFmtId="0" fontId="3" fillId="0" borderId="0" xfId="0" applyFont="1" applyBorder="1"/>
    <xf numFmtId="0" fontId="17" fillId="0" borderId="0" xfId="0" applyFont="1" applyBorder="1" applyAlignment="1">
      <alignment vertical="top"/>
    </xf>
    <xf numFmtId="0" fontId="17" fillId="0" borderId="0" xfId="0" applyFont="1" applyBorder="1" applyAlignment="1">
      <alignment horizontal="center" vertical="top"/>
    </xf>
    <xf numFmtId="0" fontId="19" fillId="0" borderId="0" xfId="0" applyFont="1" applyBorder="1" applyAlignment="1">
      <alignment horizontal="left"/>
    </xf>
    <xf numFmtId="0" fontId="25" fillId="0" borderId="0" xfId="0" applyFont="1" applyBorder="1" applyAlignment="1">
      <alignment vertical="top"/>
    </xf>
    <xf numFmtId="0" fontId="19" fillId="0" borderId="0" xfId="0" applyFont="1" applyBorder="1"/>
    <xf numFmtId="0" fontId="16" fillId="0" borderId="0" xfId="0" applyFont="1" applyBorder="1" applyAlignment="1">
      <alignment horizontal="left"/>
    </xf>
    <xf numFmtId="0" fontId="16" fillId="0" borderId="0" xfId="0" applyFont="1" applyBorder="1" applyAlignment="1">
      <alignment horizontal="center"/>
    </xf>
    <xf numFmtId="0" fontId="7" fillId="0" borderId="62" xfId="0" applyFont="1" applyBorder="1" applyAlignment="1">
      <alignment horizontal="center" vertical="center"/>
    </xf>
    <xf numFmtId="0" fontId="49" fillId="0" borderId="11" xfId="0" applyFont="1" applyBorder="1" applyAlignment="1">
      <alignment horizontal="center" vertical="center"/>
    </xf>
    <xf numFmtId="0" fontId="50" fillId="0" borderId="11" xfId="2" applyFont="1" applyBorder="1" applyAlignment="1">
      <alignment horizontal="center" vertical="center"/>
    </xf>
    <xf numFmtId="0" fontId="50" fillId="0" borderId="11" xfId="2" applyFont="1" applyBorder="1" applyAlignment="1">
      <alignment horizontal="center" vertical="center" textRotation="90" wrapText="1"/>
    </xf>
    <xf numFmtId="0" fontId="50" fillId="0" borderId="11" xfId="2" applyFont="1" applyBorder="1" applyAlignment="1">
      <alignment horizontal="center" vertical="center" wrapText="1"/>
    </xf>
    <xf numFmtId="0" fontId="50" fillId="0" borderId="59" xfId="2" applyFont="1" applyBorder="1" applyAlignment="1">
      <alignment horizontal="center" vertical="center"/>
    </xf>
    <xf numFmtId="0" fontId="29" fillId="9" borderId="11" xfId="0" applyFont="1" applyFill="1" applyBorder="1" applyAlignment="1">
      <alignment horizontal="center" vertical="center" wrapText="1"/>
    </xf>
    <xf numFmtId="0" fontId="55" fillId="9" borderId="11" xfId="0" applyFont="1" applyFill="1" applyBorder="1" applyAlignment="1">
      <alignment horizontal="center" vertical="center"/>
    </xf>
    <xf numFmtId="0" fontId="58" fillId="0" borderId="0" xfId="0" applyFont="1"/>
    <xf numFmtId="0" fontId="20" fillId="0" borderId="63" xfId="0" applyFont="1" applyBorder="1"/>
    <xf numFmtId="0" fontId="21" fillId="0" borderId="63" xfId="0" applyFont="1" applyBorder="1" applyAlignment="1">
      <alignment horizontal="left" vertical="center"/>
    </xf>
    <xf numFmtId="0" fontId="21" fillId="0" borderId="63" xfId="0" applyFont="1" applyBorder="1" applyAlignment="1">
      <alignment horizontal="center" vertical="center"/>
    </xf>
    <xf numFmtId="0" fontId="22" fillId="0" borderId="63" xfId="0" applyFont="1" applyBorder="1"/>
    <xf numFmtId="0" fontId="14" fillId="0" borderId="63" xfId="0" applyFont="1" applyBorder="1"/>
    <xf numFmtId="0" fontId="21" fillId="5" borderId="63" xfId="0" applyFont="1" applyFill="1" applyBorder="1" applyAlignment="1">
      <alignment horizontal="center" vertical="center"/>
    </xf>
    <xf numFmtId="0" fontId="20" fillId="5" borderId="63" xfId="0" applyFont="1" applyFill="1" applyBorder="1" applyAlignment="1">
      <alignment horizontal="center" vertical="center" textRotation="90"/>
    </xf>
    <xf numFmtId="0" fontId="20" fillId="2" borderId="63" xfId="0" applyFont="1" applyFill="1" applyBorder="1" applyAlignment="1">
      <alignment horizontal="center" vertical="center" textRotation="90"/>
    </xf>
    <xf numFmtId="0" fontId="20" fillId="2" borderId="63" xfId="0" applyFont="1" applyFill="1" applyBorder="1" applyAlignment="1">
      <alignment horizontal="center" vertical="center" wrapText="1"/>
    </xf>
    <xf numFmtId="0" fontId="20" fillId="2" borderId="63" xfId="0" applyFont="1" applyFill="1" applyBorder="1" applyAlignment="1">
      <alignment horizontal="center" vertical="center"/>
    </xf>
    <xf numFmtId="0" fontId="54" fillId="0" borderId="63" xfId="0" applyFont="1" applyBorder="1" applyAlignment="1">
      <alignment horizontal="center" vertical="center"/>
    </xf>
    <xf numFmtId="0" fontId="51" fillId="0" borderId="63" xfId="0" applyFont="1" applyBorder="1" applyAlignment="1">
      <alignment horizontal="center" vertical="center"/>
    </xf>
    <xf numFmtId="0" fontId="52" fillId="0" borderId="63" xfId="0" applyFont="1" applyBorder="1" applyAlignment="1">
      <alignment horizontal="center" vertical="center"/>
    </xf>
    <xf numFmtId="0" fontId="23" fillId="0" borderId="63" xfId="0" applyFont="1" applyBorder="1" applyAlignment="1">
      <alignment horizontal="center" vertical="center"/>
    </xf>
    <xf numFmtId="0" fontId="56" fillId="10" borderId="63" xfId="0" applyFont="1" applyFill="1" applyBorder="1" applyAlignment="1">
      <alignment horizontal="center" vertical="center"/>
    </xf>
    <xf numFmtId="0" fontId="20" fillId="3" borderId="63" xfId="0" applyFont="1" applyFill="1" applyBorder="1" applyAlignment="1">
      <alignment wrapText="1"/>
    </xf>
    <xf numFmtId="0" fontId="20" fillId="3" borderId="63" xfId="0" applyFont="1" applyFill="1" applyBorder="1" applyAlignment="1">
      <alignment horizontal="left"/>
    </xf>
    <xf numFmtId="0" fontId="20" fillId="3" borderId="63" xfId="0" applyFont="1" applyFill="1" applyBorder="1" applyAlignment="1">
      <alignment horizontal="center"/>
    </xf>
    <xf numFmtId="0" fontId="57" fillId="3" borderId="63" xfId="0" applyFont="1" applyFill="1" applyBorder="1" applyAlignment="1">
      <alignment horizontal="center"/>
    </xf>
    <xf numFmtId="0" fontId="53" fillId="3" borderId="63" xfId="0" applyFont="1" applyFill="1" applyBorder="1" applyAlignment="1">
      <alignment horizontal="center"/>
    </xf>
    <xf numFmtId="0" fontId="52" fillId="3" borderId="63" xfId="0" applyFont="1" applyFill="1" applyBorder="1" applyAlignment="1">
      <alignment horizontal="center" vertical="center"/>
    </xf>
    <xf numFmtId="0" fontId="21" fillId="3" borderId="63" xfId="0" applyFont="1" applyFill="1" applyBorder="1" applyAlignment="1">
      <alignment horizontal="center" vertical="center"/>
    </xf>
    <xf numFmtId="0" fontId="21" fillId="0" borderId="63" xfId="0" applyFont="1" applyBorder="1" applyAlignment="1">
      <alignment horizontal="left" vertical="center" wrapText="1"/>
    </xf>
    <xf numFmtId="0" fontId="21" fillId="0" borderId="63" xfId="0" applyFont="1" applyBorder="1" applyAlignment="1">
      <alignment horizontal="center" vertical="center" wrapText="1"/>
    </xf>
    <xf numFmtId="0" fontId="52" fillId="0" borderId="63" xfId="0" applyFont="1" applyBorder="1" applyAlignment="1">
      <alignment horizontal="center" vertical="center" wrapText="1"/>
    </xf>
    <xf numFmtId="0" fontId="21" fillId="6" borderId="63" xfId="0" applyFont="1" applyFill="1" applyBorder="1" applyAlignment="1">
      <alignment horizontal="center" vertical="center"/>
    </xf>
    <xf numFmtId="0" fontId="21" fillId="10" borderId="63" xfId="0" applyFont="1" applyFill="1" applyBorder="1" applyAlignment="1">
      <alignment horizontal="left" vertical="center" wrapText="1"/>
    </xf>
    <xf numFmtId="0" fontId="46" fillId="0" borderId="63" xfId="0" applyFont="1" applyBorder="1" applyAlignment="1">
      <alignment horizontal="center" vertical="center" wrapText="1"/>
    </xf>
    <xf numFmtId="0" fontId="18" fillId="0" borderId="63" xfId="0" applyFont="1" applyBorder="1" applyAlignment="1">
      <alignment horizontal="center"/>
    </xf>
    <xf numFmtId="0" fontId="22" fillId="0" borderId="63" xfId="0" applyFont="1" applyBorder="1" applyAlignment="1">
      <alignment horizontal="center" vertical="center"/>
    </xf>
    <xf numFmtId="0" fontId="0" fillId="0" borderId="63" xfId="0" applyBorder="1" applyAlignment="1">
      <alignment horizontal="center"/>
    </xf>
    <xf numFmtId="0" fontId="18" fillId="0" borderId="63" xfId="0" applyFont="1" applyBorder="1" applyAlignment="1">
      <alignment horizontal="center" vertical="center" wrapText="1"/>
    </xf>
    <xf numFmtId="0" fontId="0" fillId="0" borderId="63" xfId="0" applyBorder="1"/>
    <xf numFmtId="0" fontId="41" fillId="7" borderId="63" xfId="0" applyFont="1" applyFill="1" applyBorder="1" applyAlignment="1">
      <alignment horizontal="center" vertical="center" wrapText="1"/>
    </xf>
    <xf numFmtId="0" fontId="40" fillId="7" borderId="63" xfId="0" applyFont="1" applyFill="1" applyBorder="1" applyAlignment="1">
      <alignment horizontal="center" vertical="center" wrapText="1"/>
    </xf>
    <xf numFmtId="0" fontId="40" fillId="0" borderId="63" xfId="0" applyFont="1" applyBorder="1" applyAlignment="1">
      <alignment horizontal="center" vertical="center" wrapText="1"/>
    </xf>
    <xf numFmtId="0" fontId="21" fillId="0" borderId="63" xfId="0" applyFont="1" applyBorder="1" applyAlignment="1">
      <alignment horizontal="center" vertical="center"/>
    </xf>
    <xf numFmtId="0" fontId="3" fillId="0" borderId="9" xfId="0" applyFont="1" applyBorder="1"/>
    <xf numFmtId="0" fontId="21" fillId="5" borderId="63" xfId="0" applyFont="1" applyFill="1" applyBorder="1" applyAlignment="1">
      <alignment horizontal="center" vertical="center" wrapText="1"/>
    </xf>
    <xf numFmtId="0" fontId="29" fillId="0" borderId="63" xfId="0" applyFont="1" applyBorder="1" applyAlignment="1">
      <alignment horizontal="center" vertical="center"/>
    </xf>
    <xf numFmtId="0" fontId="25" fillId="0" borderId="0" xfId="0" applyFont="1" applyAlignment="1">
      <alignment horizontal="center" vertical="top"/>
    </xf>
    <xf numFmtId="0" fontId="25" fillId="0" borderId="0" xfId="0" applyFont="1" applyBorder="1" applyAlignment="1">
      <alignment horizontal="center" vertical="top"/>
    </xf>
    <xf numFmtId="0" fontId="21" fillId="0" borderId="63" xfId="0" applyFont="1" applyBorder="1" applyAlignment="1">
      <alignment horizontal="center" vertical="center"/>
    </xf>
    <xf numFmtId="0" fontId="25" fillId="0" borderId="0" xfId="0" applyFont="1" applyBorder="1" applyAlignment="1">
      <alignment horizontal="center" vertical="top" wrapText="1"/>
    </xf>
    <xf numFmtId="0" fontId="59" fillId="10" borderId="63" xfId="0" applyFont="1" applyFill="1" applyBorder="1" applyAlignment="1">
      <alignment horizontal="center" vertical="center"/>
    </xf>
    <xf numFmtId="0" fontId="21" fillId="10" borderId="63" xfId="0" applyFont="1" applyFill="1" applyBorder="1" applyAlignment="1">
      <alignment horizontal="center" vertical="center" wrapText="1"/>
    </xf>
    <xf numFmtId="0" fontId="60" fillId="10" borderId="63" xfId="0" applyFont="1" applyFill="1" applyBorder="1" applyAlignment="1">
      <alignment horizontal="center" vertical="center"/>
    </xf>
    <xf numFmtId="0" fontId="59" fillId="10" borderId="11" xfId="0" applyFont="1" applyFill="1" applyBorder="1" applyAlignment="1">
      <alignment horizontal="center" vertical="center"/>
    </xf>
    <xf numFmtId="0" fontId="19" fillId="4" borderId="63" xfId="0" applyFont="1" applyFill="1" applyBorder="1" applyAlignment="1">
      <alignment horizontal="center" vertical="center"/>
    </xf>
    <xf numFmtId="0" fontId="61" fillId="5" borderId="63" xfId="0" applyFont="1" applyFill="1" applyBorder="1" applyAlignment="1">
      <alignment horizontal="center" vertical="center" textRotation="90" wrapText="1"/>
    </xf>
    <xf numFmtId="0" fontId="19" fillId="4" borderId="63" xfId="0" applyFont="1" applyFill="1" applyBorder="1" applyAlignment="1">
      <alignment horizontal="center" vertical="center" wrapText="1"/>
    </xf>
    <xf numFmtId="0" fontId="59" fillId="0" borderId="11" xfId="0" applyFont="1" applyBorder="1" applyAlignment="1">
      <alignment horizontal="center" vertical="center"/>
    </xf>
    <xf numFmtId="0" fontId="44" fillId="0" borderId="14" xfId="2" applyFont="1" applyBorder="1"/>
    <xf numFmtId="0" fontId="7" fillId="9" borderId="11" xfId="0" applyFont="1" applyFill="1" applyBorder="1" applyAlignment="1">
      <alignment horizontal="center" vertical="center"/>
    </xf>
    <xf numFmtId="0" fontId="21" fillId="0" borderId="63" xfId="0" applyFont="1" applyBorder="1" applyAlignment="1">
      <alignment horizontal="center" vertical="center"/>
    </xf>
    <xf numFmtId="15" fontId="59" fillId="10" borderId="63" xfId="0" applyNumberFormat="1" applyFont="1" applyFill="1" applyBorder="1" applyAlignment="1">
      <alignment horizontal="center" vertical="center"/>
    </xf>
    <xf numFmtId="0" fontId="59" fillId="10" borderId="63" xfId="0" applyFont="1" applyFill="1" applyBorder="1" applyAlignment="1">
      <alignment horizontal="center" vertical="center" wrapText="1"/>
    </xf>
    <xf numFmtId="164" fontId="59" fillId="10" borderId="63" xfId="0" applyNumberFormat="1" applyFont="1" applyFill="1" applyBorder="1" applyAlignment="1">
      <alignment horizontal="center" vertical="center" wrapText="1"/>
    </xf>
    <xf numFmtId="0" fontId="62" fillId="10" borderId="63" xfId="0" applyFont="1" applyFill="1" applyBorder="1" applyAlignment="1">
      <alignment horizontal="center" vertical="center" wrapText="1"/>
    </xf>
    <xf numFmtId="15" fontId="59" fillId="10" borderId="63" xfId="0" applyNumberFormat="1" applyFont="1" applyFill="1" applyBorder="1" applyAlignment="1">
      <alignment horizontal="center" vertical="center" wrapText="1"/>
    </xf>
    <xf numFmtId="0" fontId="59" fillId="9" borderId="11" xfId="0" applyFont="1" applyFill="1" applyBorder="1" applyAlignment="1">
      <alignment horizontal="center" vertical="center"/>
    </xf>
    <xf numFmtId="0" fontId="60" fillId="5" borderId="63" xfId="0" applyFont="1" applyFill="1" applyBorder="1" applyAlignment="1">
      <alignment horizontal="center" vertical="center" textRotation="90" wrapText="1"/>
    </xf>
    <xf numFmtId="0" fontId="56" fillId="10" borderId="63" xfId="0" applyFont="1" applyFill="1" applyBorder="1" applyAlignment="1">
      <alignment horizontal="center" vertical="center" wrapText="1"/>
    </xf>
    <xf numFmtId="0" fontId="56" fillId="0" borderId="63" xfId="0" applyFont="1" applyBorder="1" applyAlignment="1">
      <alignment horizontal="center" vertical="center" wrapText="1"/>
    </xf>
    <xf numFmtId="0" fontId="56" fillId="0" borderId="63" xfId="0" applyFont="1" applyBorder="1" applyAlignment="1">
      <alignment horizontal="center" vertical="center"/>
    </xf>
    <xf numFmtId="0" fontId="18" fillId="5" borderId="63" xfId="0" applyFont="1" applyFill="1" applyBorder="1" applyAlignment="1">
      <alignment horizontal="center" vertical="center" textRotation="90" wrapText="1"/>
    </xf>
    <xf numFmtId="0" fontId="18" fillId="0" borderId="11" xfId="0" applyFont="1" applyBorder="1" applyAlignment="1">
      <alignment horizontal="center" vertical="center" wrapText="1"/>
    </xf>
    <xf numFmtId="0" fontId="63" fillId="10" borderId="63" xfId="0" applyFont="1" applyFill="1" applyBorder="1" applyAlignment="1">
      <alignment horizontal="center" vertical="center"/>
    </xf>
    <xf numFmtId="0" fontId="40" fillId="8" borderId="63" xfId="0" applyFont="1" applyFill="1" applyBorder="1" applyAlignment="1">
      <alignment horizontal="center" vertical="center" wrapText="1"/>
    </xf>
    <xf numFmtId="0" fontId="64" fillId="0" borderId="11" xfId="0" applyFont="1" applyBorder="1" applyAlignment="1">
      <alignment horizontal="center" vertical="center"/>
    </xf>
    <xf numFmtId="0" fontId="65" fillId="10" borderId="63" xfId="0" applyFont="1" applyFill="1" applyBorder="1" applyAlignment="1">
      <alignment horizontal="center" vertical="center" wrapText="1"/>
    </xf>
    <xf numFmtId="0" fontId="63" fillId="9" borderId="63" xfId="0" applyFont="1" applyFill="1" applyBorder="1" applyAlignment="1">
      <alignment horizontal="center" vertical="center"/>
    </xf>
    <xf numFmtId="0" fontId="40" fillId="9" borderId="63" xfId="0" applyFont="1" applyFill="1" applyBorder="1" applyAlignment="1">
      <alignment horizontal="center" vertical="center" wrapText="1"/>
    </xf>
    <xf numFmtId="0" fontId="21" fillId="0" borderId="63" xfId="0" applyFont="1" applyBorder="1" applyAlignment="1">
      <alignment horizontal="center" vertical="center"/>
    </xf>
    <xf numFmtId="0" fontId="42" fillId="0" borderId="11" xfId="2" applyFont="1" applyBorder="1" applyAlignment="1">
      <alignment horizontal="center" textRotation="90"/>
    </xf>
    <xf numFmtId="0" fontId="42" fillId="0" borderId="14" xfId="2" applyFont="1" applyBorder="1" applyAlignment="1">
      <alignment horizontal="left"/>
    </xf>
    <xf numFmtId="0" fontId="42" fillId="0" borderId="11" xfId="2" applyFont="1" applyBorder="1" applyAlignment="1">
      <alignment horizontal="left"/>
    </xf>
    <xf numFmtId="0" fontId="42" fillId="0" borderId="11" xfId="2" applyFont="1" applyBorder="1" applyAlignment="1">
      <alignment horizontal="center" vertical="center"/>
    </xf>
    <xf numFmtId="0" fontId="11" fillId="0" borderId="9" xfId="0" applyFont="1" applyBorder="1"/>
    <xf numFmtId="0" fontId="11" fillId="0" borderId="0" xfId="0" applyFont="1"/>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10" xfId="0" applyFont="1" applyBorder="1" applyAlignment="1">
      <alignment horizontal="center" vertical="center"/>
    </xf>
    <xf numFmtId="0" fontId="9" fillId="0" borderId="7" xfId="0" applyFont="1" applyBorder="1" applyAlignment="1">
      <alignment horizontal="center"/>
    </xf>
    <xf numFmtId="0" fontId="7" fillId="0" borderId="9" xfId="0" applyFont="1" applyBorder="1"/>
    <xf numFmtId="0" fontId="7" fillId="0" borderId="0" xfId="0" applyFont="1"/>
    <xf numFmtId="0" fontId="7" fillId="0" borderId="19" xfId="0" applyFont="1" applyBorder="1" applyAlignment="1">
      <alignment horizontal="center"/>
    </xf>
    <xf numFmtId="0" fontId="7" fillId="0" borderId="20" xfId="0" applyFont="1" applyBorder="1" applyAlignment="1">
      <alignment horizontal="center"/>
    </xf>
    <xf numFmtId="0" fontId="7" fillId="0" borderId="19" xfId="0" applyFont="1" applyBorder="1" applyAlignment="1">
      <alignment horizontal="left"/>
    </xf>
    <xf numFmtId="0" fontId="7" fillId="0" borderId="20" xfId="0" applyFont="1" applyBorder="1" applyAlignment="1">
      <alignment horizontal="left"/>
    </xf>
    <xf numFmtId="0" fontId="13" fillId="0" borderId="9" xfId="0" applyFont="1" applyBorder="1" applyAlignment="1">
      <alignment horizontal="center"/>
    </xf>
    <xf numFmtId="0" fontId="13" fillId="0" borderId="0" xfId="0" applyFont="1" applyAlignment="1">
      <alignment horizontal="center"/>
    </xf>
    <xf numFmtId="0" fontId="13" fillId="0" borderId="10" xfId="0" applyFont="1" applyBorder="1" applyAlignment="1">
      <alignment horizontal="center"/>
    </xf>
    <xf numFmtId="0" fontId="28" fillId="3" borderId="5" xfId="0" applyFont="1" applyFill="1" applyBorder="1" applyAlignment="1">
      <alignment horizontal="center" vertical="center"/>
    </xf>
    <xf numFmtId="0" fontId="28" fillId="3" borderId="4" xfId="0" applyFont="1" applyFill="1" applyBorder="1" applyAlignment="1">
      <alignment horizontal="center" vertical="center"/>
    </xf>
    <xf numFmtId="0" fontId="28" fillId="3" borderId="1" xfId="0" applyFont="1" applyFill="1" applyBorder="1" applyAlignment="1">
      <alignment horizontal="center" vertical="center"/>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0" xfId="0" applyFont="1" applyAlignment="1">
      <alignment horizontal="center" vertical="center" wrapText="1"/>
    </xf>
    <xf numFmtId="0" fontId="22" fillId="0" borderId="10"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63" xfId="0" applyFont="1" applyBorder="1" applyAlignment="1">
      <alignment horizontal="center" vertical="center"/>
    </xf>
    <xf numFmtId="0" fontId="21" fillId="0" borderId="63" xfId="0" applyFont="1" applyBorder="1" applyAlignment="1">
      <alignment horizontal="center" vertical="center"/>
    </xf>
    <xf numFmtId="0" fontId="26" fillId="3" borderId="5" xfId="0" applyFont="1" applyFill="1" applyBorder="1" applyAlignment="1">
      <alignment horizontal="center" vertical="center"/>
    </xf>
    <xf numFmtId="0" fontId="26" fillId="3" borderId="4" xfId="0" applyFont="1" applyFill="1" applyBorder="1" applyAlignment="1">
      <alignment horizontal="center" vertical="center"/>
    </xf>
    <xf numFmtId="0" fontId="26" fillId="3" borderId="1" xfId="0" applyFont="1" applyFill="1" applyBorder="1" applyAlignment="1">
      <alignment horizontal="center" vertical="center"/>
    </xf>
    <xf numFmtId="0" fontId="25" fillId="0" borderId="7" xfId="0" applyFont="1" applyBorder="1" applyAlignment="1">
      <alignment horizontal="center" vertical="top" wrapText="1"/>
    </xf>
    <xf numFmtId="0" fontId="25" fillId="0" borderId="0" xfId="0" applyFont="1" applyAlignment="1">
      <alignment horizontal="center" vertical="top"/>
    </xf>
    <xf numFmtId="0" fontId="25" fillId="0" borderId="0" xfId="0" applyFont="1" applyBorder="1" applyAlignment="1">
      <alignment horizontal="center" vertical="top"/>
    </xf>
    <xf numFmtId="0" fontId="1" fillId="0" borderId="26" xfId="2" applyBorder="1" applyAlignment="1">
      <alignment horizontal="center"/>
    </xf>
    <xf numFmtId="0" fontId="1" fillId="0" borderId="27" xfId="2" applyBorder="1" applyAlignment="1">
      <alignment horizontal="center"/>
    </xf>
    <xf numFmtId="0" fontId="1" fillId="0" borderId="36" xfId="2" applyBorder="1" applyAlignment="1">
      <alignment horizontal="center"/>
    </xf>
    <xf numFmtId="0" fontId="1" fillId="0" borderId="30" xfId="2" applyBorder="1" applyAlignment="1">
      <alignment horizontal="center"/>
    </xf>
    <xf numFmtId="0" fontId="38" fillId="0" borderId="31" xfId="2" applyFont="1" applyBorder="1" applyAlignment="1">
      <alignment horizontal="center" vertical="top" wrapText="1"/>
    </xf>
    <xf numFmtId="0" fontId="38" fillId="0" borderId="33" xfId="2" applyFont="1" applyBorder="1" applyAlignment="1">
      <alignment horizontal="center" vertical="top"/>
    </xf>
    <xf numFmtId="0" fontId="38" fillId="0" borderId="37" xfId="2" applyFont="1" applyBorder="1" applyAlignment="1">
      <alignment horizontal="center" vertical="top"/>
    </xf>
    <xf numFmtId="0" fontId="38" fillId="0" borderId="10" xfId="2" applyFont="1" applyBorder="1" applyAlignment="1">
      <alignment horizontal="center" vertical="top"/>
    </xf>
    <xf numFmtId="0" fontId="38" fillId="0" borderId="57" xfId="2" applyFont="1" applyBorder="1" applyAlignment="1">
      <alignment horizontal="center" vertical="top"/>
    </xf>
    <xf numFmtId="0" fontId="38" fillId="0" borderId="2" xfId="2" applyFont="1" applyBorder="1" applyAlignment="1">
      <alignment horizontal="center" vertical="top"/>
    </xf>
    <xf numFmtId="0" fontId="35" fillId="0" borderId="26" xfId="2" applyFont="1" applyBorder="1" applyAlignment="1">
      <alignment horizontal="left" vertical="center"/>
    </xf>
    <xf numFmtId="0" fontId="35" fillId="0" borderId="27" xfId="2" applyFont="1" applyBorder="1" applyAlignment="1">
      <alignment horizontal="left" vertical="center"/>
    </xf>
    <xf numFmtId="0" fontId="35" fillId="0" borderId="28" xfId="2" applyFont="1" applyBorder="1" applyAlignment="1">
      <alignment horizontal="center" vertical="center"/>
    </xf>
    <xf numFmtId="0" fontId="35" fillId="0" borderId="29" xfId="2" applyFont="1" applyBorder="1" applyAlignment="1">
      <alignment horizontal="center" vertical="center"/>
    </xf>
    <xf numFmtId="0" fontId="35" fillId="0" borderId="30" xfId="2" applyFont="1" applyBorder="1" applyAlignment="1">
      <alignment horizontal="center" vertical="center"/>
    </xf>
    <xf numFmtId="0" fontId="1" fillId="0" borderId="51" xfId="2" applyBorder="1" applyAlignment="1">
      <alignment horizontal="center"/>
    </xf>
    <xf numFmtId="0" fontId="1" fillId="0" borderId="52" xfId="2" applyBorder="1" applyAlignment="1">
      <alignment horizontal="center"/>
    </xf>
    <xf numFmtId="0" fontId="1" fillId="0" borderId="54" xfId="2" applyBorder="1" applyAlignment="1">
      <alignment horizontal="center"/>
    </xf>
    <xf numFmtId="0" fontId="1" fillId="0" borderId="55" xfId="2" applyBorder="1" applyAlignment="1">
      <alignment horizontal="center"/>
    </xf>
    <xf numFmtId="0" fontId="39" fillId="0" borderId="53" xfId="2" applyFont="1" applyBorder="1" applyAlignment="1">
      <alignment horizontal="center"/>
    </xf>
    <xf numFmtId="0" fontId="39" fillId="0" borderId="56" xfId="2" applyFont="1" applyBorder="1" applyAlignment="1">
      <alignment horizontal="center"/>
    </xf>
    <xf numFmtId="0" fontId="1" fillId="0" borderId="46" xfId="2" applyBorder="1" applyAlignment="1">
      <alignment horizontal="center"/>
    </xf>
    <xf numFmtId="0" fontId="1" fillId="0" borderId="47" xfId="2" applyBorder="1" applyAlignment="1">
      <alignment horizontal="center"/>
    </xf>
    <xf numFmtId="0" fontId="1" fillId="0" borderId="48" xfId="2" applyBorder="1" applyAlignment="1">
      <alignment horizontal="center"/>
    </xf>
    <xf numFmtId="0" fontId="36" fillId="0" borderId="46" xfId="2" applyFont="1" applyBorder="1" applyAlignment="1">
      <alignment horizontal="center" wrapText="1"/>
    </xf>
    <xf numFmtId="0" fontId="36" fillId="0" borderId="47" xfId="2" applyFont="1" applyBorder="1" applyAlignment="1">
      <alignment horizontal="center" wrapText="1"/>
    </xf>
    <xf numFmtId="0" fontId="36" fillId="0" borderId="48" xfId="2" applyFont="1" applyBorder="1" applyAlignment="1">
      <alignment horizontal="center" wrapText="1"/>
    </xf>
    <xf numFmtId="0" fontId="37" fillId="0" borderId="46" xfId="2" applyFont="1" applyBorder="1" applyAlignment="1">
      <alignment horizontal="center" vertical="top" wrapText="1"/>
    </xf>
    <xf numFmtId="0" fontId="37" fillId="0" borderId="47" xfId="2" applyFont="1" applyBorder="1" applyAlignment="1">
      <alignment horizontal="center" vertical="top" wrapText="1"/>
    </xf>
    <xf numFmtId="0" fontId="37" fillId="0" borderId="48" xfId="2" applyFont="1" applyBorder="1" applyAlignment="1">
      <alignment horizontal="center" vertical="top" wrapText="1"/>
    </xf>
    <xf numFmtId="0" fontId="1" fillId="0" borderId="49" xfId="2" applyBorder="1" applyAlignment="1">
      <alignment horizontal="center"/>
    </xf>
    <xf numFmtId="0" fontId="1" fillId="0" borderId="50" xfId="2" applyBorder="1" applyAlignment="1">
      <alignment horizontal="center"/>
    </xf>
    <xf numFmtId="0" fontId="35" fillId="0" borderId="26" xfId="2" applyFont="1" applyBorder="1" applyAlignment="1">
      <alignment horizontal="center"/>
    </xf>
    <xf numFmtId="0" fontId="35" fillId="0" borderId="27" xfId="2" applyFont="1" applyBorder="1" applyAlignment="1">
      <alignment horizontal="center"/>
    </xf>
    <xf numFmtId="0" fontId="35" fillId="0" borderId="36" xfId="2" applyFont="1" applyBorder="1" applyAlignment="1">
      <alignment horizontal="center"/>
    </xf>
    <xf numFmtId="0" fontId="35" fillId="0" borderId="49" xfId="2" applyFont="1" applyBorder="1" applyAlignment="1">
      <alignment horizontal="center"/>
    </xf>
    <xf numFmtId="0" fontId="35" fillId="0" borderId="50" xfId="2" applyFont="1" applyBorder="1" applyAlignment="1">
      <alignment horizontal="center"/>
    </xf>
    <xf numFmtId="0" fontId="0" fillId="0" borderId="34" xfId="2" applyFont="1" applyBorder="1" applyAlignment="1">
      <alignment horizontal="left" vertical="center" wrapText="1"/>
    </xf>
    <xf numFmtId="0" fontId="30" fillId="0" borderId="32" xfId="2" applyFont="1" applyBorder="1" applyAlignment="1">
      <alignment horizontal="left" vertical="center" wrapText="1"/>
    </xf>
    <xf numFmtId="0" fontId="30" fillId="0" borderId="33" xfId="2" applyFont="1" applyBorder="1" applyAlignment="1">
      <alignment horizontal="left" vertical="center" wrapText="1"/>
    </xf>
    <xf numFmtId="0" fontId="30" fillId="0" borderId="9" xfId="2" applyFont="1" applyBorder="1" applyAlignment="1">
      <alignment horizontal="left" vertical="center" wrapText="1"/>
    </xf>
    <xf numFmtId="0" fontId="30" fillId="0" borderId="0" xfId="2" applyFont="1" applyAlignment="1">
      <alignment horizontal="left" vertical="center" wrapText="1"/>
    </xf>
    <xf numFmtId="0" fontId="30" fillId="0" borderId="10" xfId="2" applyFont="1" applyBorder="1" applyAlignment="1">
      <alignment horizontal="left" vertical="center" wrapText="1"/>
    </xf>
    <xf numFmtId="0" fontId="30" fillId="0" borderId="39" xfId="2" applyFont="1" applyBorder="1" applyAlignment="1">
      <alignment horizontal="left" vertical="center" wrapText="1"/>
    </xf>
    <xf numFmtId="0" fontId="30" fillId="0" borderId="43" xfId="2" applyFont="1" applyBorder="1" applyAlignment="1">
      <alignment horizontal="left" vertical="center" wrapText="1"/>
    </xf>
    <xf numFmtId="0" fontId="30" fillId="0" borderId="44" xfId="2" applyFont="1" applyBorder="1" applyAlignment="1">
      <alignment horizontal="left" vertical="center" wrapText="1"/>
    </xf>
    <xf numFmtId="0" fontId="31" fillId="0" borderId="23" xfId="2" applyFont="1" applyBorder="1" applyAlignment="1">
      <alignment horizontal="center" vertical="center"/>
    </xf>
    <xf numFmtId="0" fontId="31" fillId="0" borderId="24" xfId="2" applyFont="1" applyBorder="1" applyAlignment="1">
      <alignment horizontal="center" vertical="center"/>
    </xf>
    <xf numFmtId="0" fontId="31" fillId="0" borderId="25" xfId="2" applyFont="1" applyBorder="1" applyAlignment="1">
      <alignment horizontal="center" vertical="center"/>
    </xf>
    <xf numFmtId="0" fontId="32" fillId="0" borderId="26" xfId="2" applyFont="1" applyBorder="1" applyAlignment="1">
      <alignment horizontal="left"/>
    </xf>
    <xf numFmtId="0" fontId="32" fillId="0" borderId="27" xfId="2" applyFont="1" applyBorder="1" applyAlignment="1">
      <alignment horizontal="left"/>
    </xf>
    <xf numFmtId="0" fontId="7" fillId="0" borderId="28" xfId="2" applyFont="1" applyBorder="1" applyAlignment="1">
      <alignment horizontal="center" vertical="top" wrapText="1"/>
    </xf>
    <xf numFmtId="0" fontId="33" fillId="0" borderId="29" xfId="2" applyFont="1" applyBorder="1" applyAlignment="1">
      <alignment horizontal="center" vertical="top" wrapText="1"/>
    </xf>
    <xf numFmtId="0" fontId="33" fillId="0" borderId="30" xfId="2" applyFont="1" applyBorder="1" applyAlignment="1">
      <alignment horizontal="center" vertical="top" wrapText="1"/>
    </xf>
    <xf numFmtId="0" fontId="7" fillId="0" borderId="31" xfId="2" applyFont="1" applyBorder="1" applyAlignment="1">
      <alignment horizontal="center" vertical="center" wrapText="1"/>
    </xf>
    <xf numFmtId="0" fontId="7" fillId="0" borderId="32" xfId="2" applyFont="1" applyBorder="1" applyAlignment="1">
      <alignment horizontal="center" vertical="center" wrapText="1"/>
    </xf>
    <xf numFmtId="0" fontId="7" fillId="0" borderId="33" xfId="2" applyFont="1" applyBorder="1" applyAlignment="1">
      <alignment horizontal="center" vertical="center" wrapText="1"/>
    </xf>
    <xf numFmtId="0" fontId="7" fillId="0" borderId="37" xfId="2" applyFont="1" applyBorder="1" applyAlignment="1">
      <alignment horizontal="center" vertical="center" wrapText="1"/>
    </xf>
    <xf numFmtId="0" fontId="7" fillId="0" borderId="0" xfId="2" applyFont="1" applyAlignment="1">
      <alignment horizontal="center" vertical="center" wrapText="1"/>
    </xf>
    <xf numFmtId="0" fontId="7" fillId="0" borderId="10" xfId="2" applyFont="1" applyBorder="1" applyAlignment="1">
      <alignment horizontal="center" vertical="center" wrapText="1"/>
    </xf>
    <xf numFmtId="0" fontId="7" fillId="0" borderId="42" xfId="2" applyFont="1" applyBorder="1" applyAlignment="1">
      <alignment horizontal="center" vertical="center" wrapText="1"/>
    </xf>
    <xf numFmtId="0" fontId="7" fillId="0" borderId="43" xfId="2" applyFont="1" applyBorder="1" applyAlignment="1">
      <alignment horizontal="center" vertical="center" wrapText="1"/>
    </xf>
    <xf numFmtId="0" fontId="7" fillId="0" borderId="44" xfId="2" applyFont="1" applyBorder="1" applyAlignment="1">
      <alignment horizontal="center" vertical="center" wrapText="1"/>
    </xf>
    <xf numFmtId="0" fontId="32" fillId="0" borderId="34" xfId="2" applyFont="1" applyBorder="1" applyAlignment="1">
      <alignment horizontal="left" vertical="center" wrapText="1"/>
    </xf>
    <xf numFmtId="0" fontId="32" fillId="0" borderId="35" xfId="2" applyFont="1" applyBorder="1" applyAlignment="1">
      <alignment horizontal="left" vertical="center" wrapText="1"/>
    </xf>
    <xf numFmtId="0" fontId="32" fillId="0" borderId="9" xfId="2" applyFont="1" applyBorder="1" applyAlignment="1">
      <alignment horizontal="left" vertical="center" wrapText="1"/>
    </xf>
    <xf numFmtId="0" fontId="32" fillId="0" borderId="38" xfId="2" applyFont="1" applyBorder="1" applyAlignment="1">
      <alignment horizontal="left" vertical="center" wrapText="1"/>
    </xf>
    <xf numFmtId="0" fontId="32" fillId="0" borderId="39" xfId="2" applyFont="1" applyBorder="1" applyAlignment="1">
      <alignment horizontal="left" vertical="center" wrapText="1"/>
    </xf>
    <xf numFmtId="0" fontId="32" fillId="0" borderId="40" xfId="2" applyFont="1" applyBorder="1" applyAlignment="1">
      <alignment horizontal="left" vertical="center" wrapText="1"/>
    </xf>
    <xf numFmtId="0" fontId="10" fillId="0" borderId="36" xfId="2" applyFont="1" applyBorder="1" applyAlignment="1">
      <alignment horizontal="center" vertical="center"/>
    </xf>
    <xf numFmtId="0" fontId="34" fillId="0" borderId="36" xfId="2" applyFont="1" applyBorder="1" applyAlignment="1">
      <alignment horizontal="center" vertical="center"/>
    </xf>
    <xf numFmtId="0" fontId="32" fillId="0" borderId="41" xfId="2" applyFont="1" applyBorder="1" applyAlignment="1">
      <alignment horizontal="left" vertical="center" wrapText="1"/>
    </xf>
    <xf numFmtId="0" fontId="32" fillId="0" borderId="30" xfId="2" applyFont="1" applyBorder="1" applyAlignment="1">
      <alignment horizontal="left" vertical="center" wrapText="1"/>
    </xf>
    <xf numFmtId="0" fontId="35" fillId="0" borderId="28" xfId="2" applyFont="1" applyBorder="1" applyAlignment="1">
      <alignment horizontal="center"/>
    </xf>
    <xf numFmtId="0" fontId="35" fillId="0" borderId="29" xfId="2" applyFont="1" applyBorder="1" applyAlignment="1">
      <alignment horizontal="center"/>
    </xf>
    <xf numFmtId="0" fontId="35" fillId="0" borderId="30" xfId="2" applyFont="1" applyBorder="1" applyAlignment="1">
      <alignment horizontal="center"/>
    </xf>
    <xf numFmtId="0" fontId="7" fillId="0" borderId="28" xfId="2" applyFont="1" applyBorder="1" applyAlignment="1">
      <alignment horizontal="center" wrapText="1"/>
    </xf>
    <xf numFmtId="0" fontId="7" fillId="0" borderId="29" xfId="2" applyFont="1" applyBorder="1" applyAlignment="1">
      <alignment horizontal="center"/>
    </xf>
    <xf numFmtId="0" fontId="7" fillId="0" borderId="30" xfId="2" applyFont="1" applyBorder="1" applyAlignment="1">
      <alignment horizontal="center"/>
    </xf>
    <xf numFmtId="0" fontId="7" fillId="0" borderId="28" xfId="2" applyFont="1" applyBorder="1" applyAlignment="1">
      <alignment horizontal="left" vertical="center"/>
    </xf>
    <xf numFmtId="0" fontId="7" fillId="0" borderId="29" xfId="2" applyFont="1" applyBorder="1" applyAlignment="1">
      <alignment horizontal="left" vertical="center"/>
    </xf>
    <xf numFmtId="0" fontId="7" fillId="0" borderId="45" xfId="2" applyFont="1" applyBorder="1" applyAlignment="1">
      <alignment horizontal="left" vertical="center"/>
    </xf>
    <xf numFmtId="0" fontId="7" fillId="0" borderId="28" xfId="2" applyFont="1" applyBorder="1" applyAlignment="1">
      <alignment horizontal="center" vertical="center"/>
    </xf>
    <xf numFmtId="0" fontId="7" fillId="0" borderId="29" xfId="2" applyFont="1" applyBorder="1" applyAlignment="1">
      <alignment horizontal="center" vertical="center"/>
    </xf>
    <xf numFmtId="0" fontId="7" fillId="0" borderId="45" xfId="2" applyFont="1" applyBorder="1" applyAlignment="1">
      <alignment horizontal="center" vertical="center"/>
    </xf>
    <xf numFmtId="0" fontId="32" fillId="0" borderId="46" xfId="2" applyFont="1" applyBorder="1" applyAlignment="1">
      <alignment horizontal="center"/>
    </xf>
    <xf numFmtId="0" fontId="32" fillId="0" borderId="47" xfId="2" applyFont="1" applyBorder="1" applyAlignment="1">
      <alignment horizontal="center"/>
    </xf>
    <xf numFmtId="0" fontId="32" fillId="0" borderId="48" xfId="2" applyFont="1" applyBorder="1" applyAlignment="1">
      <alignment horizontal="center"/>
    </xf>
    <xf numFmtId="0" fontId="42" fillId="0" borderId="64" xfId="2" applyFont="1" applyBorder="1" applyAlignment="1">
      <alignment horizontal="left"/>
    </xf>
    <xf numFmtId="0" fontId="42" fillId="0" borderId="13" xfId="2" applyFont="1" applyBorder="1" applyAlignment="1">
      <alignment horizontal="left"/>
    </xf>
    <xf numFmtId="0" fontId="13" fillId="0" borderId="65" xfId="2" applyFont="1" applyBorder="1" applyAlignment="1">
      <alignment horizontal="center"/>
    </xf>
    <xf numFmtId="0" fontId="13" fillId="0" borderId="66" xfId="2" applyFont="1" applyBorder="1" applyAlignment="1">
      <alignment horizontal="center"/>
    </xf>
    <xf numFmtId="0" fontId="42" fillId="0" borderId="13" xfId="2" applyFont="1" applyBorder="1" applyAlignment="1">
      <alignment horizontal="center" vertical="center"/>
    </xf>
    <xf numFmtId="0" fontId="42" fillId="0" borderId="67" xfId="2" applyFont="1" applyBorder="1" applyAlignment="1">
      <alignment horizontal="center" vertical="center"/>
    </xf>
    <xf numFmtId="0" fontId="42" fillId="0" borderId="11" xfId="2" applyFont="1" applyBorder="1" applyAlignment="1">
      <alignment horizontal="center" vertical="center"/>
    </xf>
    <xf numFmtId="0" fontId="42" fillId="0" borderId="68" xfId="2" applyFont="1" applyBorder="1" applyAlignment="1">
      <alignment horizontal="center" vertical="center"/>
    </xf>
    <xf numFmtId="0" fontId="42" fillId="0" borderId="14" xfId="2" applyFont="1" applyBorder="1" applyAlignment="1">
      <alignment horizontal="left"/>
    </xf>
    <xf numFmtId="0" fontId="42" fillId="0" borderId="11" xfId="2" applyFont="1" applyBorder="1" applyAlignment="1">
      <alignment horizontal="left"/>
    </xf>
    <xf numFmtId="0" fontId="13" fillId="0" borderId="18" xfId="2" quotePrefix="1" applyFont="1" applyBorder="1" applyAlignment="1">
      <alignment horizontal="center" vertical="center"/>
    </xf>
    <xf numFmtId="0" fontId="13" fillId="0" borderId="58" xfId="2" applyFont="1" applyBorder="1" applyAlignment="1">
      <alignment horizontal="center" vertical="center"/>
    </xf>
    <xf numFmtId="0" fontId="43" fillId="0" borderId="18" xfId="2" applyFont="1" applyBorder="1" applyAlignment="1">
      <alignment horizontal="center"/>
    </xf>
    <xf numFmtId="0" fontId="43" fillId="0" borderId="58" xfId="2" applyFont="1" applyBorder="1" applyAlignment="1">
      <alignment horizontal="center"/>
    </xf>
    <xf numFmtId="0" fontId="42" fillId="0" borderId="11" xfId="2" applyFont="1" applyBorder="1" applyAlignment="1">
      <alignment horizontal="center" textRotation="90"/>
    </xf>
    <xf numFmtId="0" fontId="42" fillId="0" borderId="68" xfId="2" applyFont="1" applyBorder="1" applyAlignment="1">
      <alignment horizontal="center" textRotation="90"/>
    </xf>
    <xf numFmtId="0" fontId="42" fillId="10" borderId="18" xfId="2" applyFont="1" applyFill="1" applyBorder="1" applyAlignment="1">
      <alignment horizontal="center"/>
    </xf>
    <xf numFmtId="0" fontId="42" fillId="10" borderId="58" xfId="2" applyFont="1" applyFill="1" applyBorder="1" applyAlignment="1">
      <alignment horizontal="center"/>
    </xf>
    <xf numFmtId="0" fontId="42" fillId="0" borderId="14" xfId="2" applyFont="1" applyBorder="1" applyAlignment="1">
      <alignment horizontal="center"/>
    </xf>
    <xf numFmtId="0" fontId="42" fillId="0" borderId="11" xfId="2" applyFont="1" applyBorder="1" applyAlignment="1">
      <alignment horizontal="center"/>
    </xf>
    <xf numFmtId="0" fontId="20" fillId="0" borderId="63" xfId="0" applyFont="1" applyBorder="1" applyAlignment="1">
      <alignment horizontal="center" vertical="center"/>
    </xf>
    <xf numFmtId="0" fontId="42" fillId="0" borderId="62" xfId="2" applyFont="1" applyBorder="1" applyAlignment="1">
      <alignment horizontal="center"/>
    </xf>
    <xf numFmtId="0" fontId="42" fillId="0" borderId="69" xfId="2" applyFont="1" applyBorder="1" applyAlignment="1">
      <alignment horizontal="center"/>
    </xf>
    <xf numFmtId="0" fontId="42" fillId="0" borderId="64" xfId="2" applyFont="1" applyBorder="1" applyAlignment="1">
      <alignment horizontal="center" vertical="center"/>
    </xf>
    <xf numFmtId="0" fontId="42" fillId="0" borderId="14" xfId="2" applyFont="1" applyBorder="1" applyAlignment="1">
      <alignment horizontal="center" vertical="center"/>
    </xf>
    <xf numFmtId="0" fontId="42" fillId="0" borderId="61" xfId="2" applyFont="1" applyBorder="1" applyAlignment="1">
      <alignment horizontal="center" vertical="center"/>
    </xf>
    <xf numFmtId="0" fontId="42" fillId="0" borderId="59" xfId="2" applyFont="1" applyBorder="1" applyAlignment="1">
      <alignment horizontal="center" vertical="center"/>
    </xf>
    <xf numFmtId="0" fontId="42" fillId="0" borderId="70" xfId="2" applyFont="1" applyBorder="1" applyAlignment="1">
      <alignment horizontal="center" vertical="center"/>
    </xf>
    <xf numFmtId="0" fontId="48" fillId="0" borderId="68" xfId="0" applyFont="1" applyBorder="1" applyAlignment="1">
      <alignment horizontal="center" vertical="center" wrapText="1"/>
    </xf>
    <xf numFmtId="0" fontId="7" fillId="0" borderId="68" xfId="0" applyFont="1" applyBorder="1" applyAlignment="1">
      <alignment horizontal="center" vertical="center"/>
    </xf>
    <xf numFmtId="0" fontId="44" fillId="0" borderId="68" xfId="2" applyFont="1" applyBorder="1" applyAlignment="1">
      <alignment horizontal="center" vertical="center" textRotation="90" wrapText="1"/>
    </xf>
    <xf numFmtId="0" fontId="7" fillId="9" borderId="68" xfId="0" applyFont="1" applyFill="1" applyBorder="1" applyAlignment="1">
      <alignment horizontal="center" vertical="center"/>
    </xf>
    <xf numFmtId="0" fontId="50" fillId="0" borderId="68" xfId="2" applyFont="1" applyBorder="1" applyAlignment="1">
      <alignment horizontal="center" vertical="center" textRotation="90" wrapText="1"/>
    </xf>
    <xf numFmtId="0" fontId="50" fillId="0" borderId="68" xfId="2" applyFont="1" applyBorder="1" applyAlignment="1">
      <alignment horizontal="center" vertical="center"/>
    </xf>
    <xf numFmtId="0" fontId="50" fillId="0" borderId="68" xfId="2" applyFont="1" applyBorder="1" applyAlignment="1">
      <alignment horizontal="center" vertical="center" wrapText="1"/>
    </xf>
    <xf numFmtId="0" fontId="50" fillId="0" borderId="70" xfId="2" applyFont="1" applyBorder="1" applyAlignment="1">
      <alignment horizontal="center" vertical="center"/>
    </xf>
  </cellXfs>
  <cellStyles count="4">
    <cellStyle name="Excel Built-in Normal" xfId="2"/>
    <cellStyle name="Normal" xfId="0" builtinId="0"/>
    <cellStyle name="Normal 2" xfId="1"/>
    <cellStyle name="Normal 3 2 5" xfId="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3</xdr:col>
      <xdr:colOff>857249</xdr:colOff>
      <xdr:row>5</xdr:row>
      <xdr:rowOff>133350</xdr:rowOff>
    </xdr:to>
    <xdr:pic>
      <xdr:nvPicPr>
        <xdr:cNvPr id="2" name="Picture 1" descr="http://st1.bgr.in/wp-content/uploads/2015/12/reliance-jio-logo-blue.jpg">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47625"/>
          <a:ext cx="1828799" cy="1038225"/>
        </a:xfrm>
        <a:prstGeom prst="rect">
          <a:avLst/>
        </a:prstGeom>
        <a:noFill/>
        <a:ln>
          <a:noFill/>
        </a:ln>
      </xdr:spPr>
    </xdr:pic>
    <xdr:clientData/>
  </xdr:twoCellAnchor>
  <xdr:twoCellAnchor>
    <xdr:from>
      <xdr:col>3</xdr:col>
      <xdr:colOff>183456</xdr:colOff>
      <xdr:row>13</xdr:row>
      <xdr:rowOff>183453</xdr:rowOff>
    </xdr:from>
    <xdr:to>
      <xdr:col>3</xdr:col>
      <xdr:colOff>432838</xdr:colOff>
      <xdr:row>15</xdr:row>
      <xdr:rowOff>2580</xdr:rowOff>
    </xdr:to>
    <xdr:sp macro="" textlink="">
      <xdr:nvSpPr>
        <xdr:cNvPr id="3" name="Rectangle 2">
          <a:extLst>
            <a:ext uri="{FF2B5EF4-FFF2-40B4-BE49-F238E27FC236}">
              <a16:creationId xmlns:a16="http://schemas.microsoft.com/office/drawing/2014/main" xmlns="" id="{00000000-0008-0000-0000-000003000000}"/>
            </a:ext>
          </a:extLst>
        </xdr:cNvPr>
        <xdr:cNvSpPr/>
      </xdr:nvSpPr>
      <xdr:spPr>
        <a:xfrm>
          <a:off x="1164531" y="2726628"/>
          <a:ext cx="249382" cy="2001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183456</xdr:colOff>
      <xdr:row>13</xdr:row>
      <xdr:rowOff>183453</xdr:rowOff>
    </xdr:from>
    <xdr:to>
      <xdr:col>4</xdr:col>
      <xdr:colOff>432838</xdr:colOff>
      <xdr:row>15</xdr:row>
      <xdr:rowOff>2580</xdr:rowOff>
    </xdr:to>
    <xdr:sp macro="" textlink="">
      <xdr:nvSpPr>
        <xdr:cNvPr id="4" name="Rectangle 3">
          <a:extLst>
            <a:ext uri="{FF2B5EF4-FFF2-40B4-BE49-F238E27FC236}">
              <a16:creationId xmlns:a16="http://schemas.microsoft.com/office/drawing/2014/main" xmlns="" id="{00000000-0008-0000-0000-000004000000}"/>
            </a:ext>
          </a:extLst>
        </xdr:cNvPr>
        <xdr:cNvSpPr/>
      </xdr:nvSpPr>
      <xdr:spPr>
        <a:xfrm>
          <a:off x="1802706" y="2726628"/>
          <a:ext cx="249382" cy="2001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183456</xdr:colOff>
      <xdr:row>13</xdr:row>
      <xdr:rowOff>183453</xdr:rowOff>
    </xdr:from>
    <xdr:to>
      <xdr:col>5</xdr:col>
      <xdr:colOff>432838</xdr:colOff>
      <xdr:row>15</xdr:row>
      <xdr:rowOff>2580</xdr:rowOff>
    </xdr:to>
    <xdr:sp macro="" textlink="">
      <xdr:nvSpPr>
        <xdr:cNvPr id="5" name="Rectangle 4">
          <a:extLst>
            <a:ext uri="{FF2B5EF4-FFF2-40B4-BE49-F238E27FC236}">
              <a16:creationId xmlns:a16="http://schemas.microsoft.com/office/drawing/2014/main" xmlns="" id="{00000000-0008-0000-0000-000005000000}"/>
            </a:ext>
          </a:extLst>
        </xdr:cNvPr>
        <xdr:cNvSpPr/>
      </xdr:nvSpPr>
      <xdr:spPr>
        <a:xfrm>
          <a:off x="2402781" y="2726628"/>
          <a:ext cx="249382" cy="2001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183456</xdr:colOff>
      <xdr:row>13</xdr:row>
      <xdr:rowOff>183453</xdr:rowOff>
    </xdr:from>
    <xdr:to>
      <xdr:col>6</xdr:col>
      <xdr:colOff>432838</xdr:colOff>
      <xdr:row>15</xdr:row>
      <xdr:rowOff>2580</xdr:rowOff>
    </xdr:to>
    <xdr:sp macro="" textlink="">
      <xdr:nvSpPr>
        <xdr:cNvPr id="6" name="Rectangle 5">
          <a:extLst>
            <a:ext uri="{FF2B5EF4-FFF2-40B4-BE49-F238E27FC236}">
              <a16:creationId xmlns:a16="http://schemas.microsoft.com/office/drawing/2014/main" xmlns="" id="{00000000-0008-0000-0000-000006000000}"/>
            </a:ext>
          </a:extLst>
        </xdr:cNvPr>
        <xdr:cNvSpPr/>
      </xdr:nvSpPr>
      <xdr:spPr>
        <a:xfrm>
          <a:off x="3002856" y="2726628"/>
          <a:ext cx="249382" cy="2001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183456</xdr:colOff>
      <xdr:row>9</xdr:row>
      <xdr:rowOff>183453</xdr:rowOff>
    </xdr:from>
    <xdr:to>
      <xdr:col>3</xdr:col>
      <xdr:colOff>432838</xdr:colOff>
      <xdr:row>11</xdr:row>
      <xdr:rowOff>0</xdr:rowOff>
    </xdr:to>
    <xdr:sp macro="" textlink="">
      <xdr:nvSpPr>
        <xdr:cNvPr id="7" name="Rectangle 6">
          <a:extLst>
            <a:ext uri="{FF2B5EF4-FFF2-40B4-BE49-F238E27FC236}">
              <a16:creationId xmlns:a16="http://schemas.microsoft.com/office/drawing/2014/main" xmlns="" id="{00000000-0008-0000-0000-000007000000}"/>
            </a:ext>
          </a:extLst>
        </xdr:cNvPr>
        <xdr:cNvSpPr/>
      </xdr:nvSpPr>
      <xdr:spPr>
        <a:xfrm>
          <a:off x="1164531" y="1964628"/>
          <a:ext cx="249382" cy="1975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183456</xdr:colOff>
      <xdr:row>9</xdr:row>
      <xdr:rowOff>183453</xdr:rowOff>
    </xdr:from>
    <xdr:to>
      <xdr:col>4</xdr:col>
      <xdr:colOff>432838</xdr:colOff>
      <xdr:row>11</xdr:row>
      <xdr:rowOff>0</xdr:rowOff>
    </xdr:to>
    <xdr:sp macro="" textlink="">
      <xdr:nvSpPr>
        <xdr:cNvPr id="8" name="Rectangle 7">
          <a:extLst>
            <a:ext uri="{FF2B5EF4-FFF2-40B4-BE49-F238E27FC236}">
              <a16:creationId xmlns:a16="http://schemas.microsoft.com/office/drawing/2014/main" xmlns="" id="{00000000-0008-0000-0000-000008000000}"/>
            </a:ext>
          </a:extLst>
        </xdr:cNvPr>
        <xdr:cNvSpPr/>
      </xdr:nvSpPr>
      <xdr:spPr>
        <a:xfrm>
          <a:off x="1802706" y="1964628"/>
          <a:ext cx="249382" cy="1975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183456</xdr:colOff>
      <xdr:row>9</xdr:row>
      <xdr:rowOff>183453</xdr:rowOff>
    </xdr:from>
    <xdr:to>
      <xdr:col>5</xdr:col>
      <xdr:colOff>432838</xdr:colOff>
      <xdr:row>11</xdr:row>
      <xdr:rowOff>0</xdr:rowOff>
    </xdr:to>
    <xdr:sp macro="" textlink="">
      <xdr:nvSpPr>
        <xdr:cNvPr id="9" name="Rectangle 8">
          <a:extLst>
            <a:ext uri="{FF2B5EF4-FFF2-40B4-BE49-F238E27FC236}">
              <a16:creationId xmlns:a16="http://schemas.microsoft.com/office/drawing/2014/main" xmlns="" id="{00000000-0008-0000-0000-000009000000}"/>
            </a:ext>
          </a:extLst>
        </xdr:cNvPr>
        <xdr:cNvSpPr/>
      </xdr:nvSpPr>
      <xdr:spPr>
        <a:xfrm>
          <a:off x="2402781" y="1964628"/>
          <a:ext cx="249382" cy="1975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183456</xdr:colOff>
      <xdr:row>17</xdr:row>
      <xdr:rowOff>183453</xdr:rowOff>
    </xdr:from>
    <xdr:to>
      <xdr:col>3</xdr:col>
      <xdr:colOff>432838</xdr:colOff>
      <xdr:row>19</xdr:row>
      <xdr:rowOff>2580</xdr:rowOff>
    </xdr:to>
    <xdr:sp macro="" textlink="">
      <xdr:nvSpPr>
        <xdr:cNvPr id="10" name="Rectangle 9">
          <a:extLst>
            <a:ext uri="{FF2B5EF4-FFF2-40B4-BE49-F238E27FC236}">
              <a16:creationId xmlns:a16="http://schemas.microsoft.com/office/drawing/2014/main" xmlns="" id="{00000000-0008-0000-0000-00000A000000}"/>
            </a:ext>
          </a:extLst>
        </xdr:cNvPr>
        <xdr:cNvSpPr/>
      </xdr:nvSpPr>
      <xdr:spPr>
        <a:xfrm>
          <a:off x="1164531" y="3507678"/>
          <a:ext cx="249382" cy="209652"/>
        </a:xfrm>
        <a:prstGeom prst="rect">
          <a:avLst/>
        </a:prstGeom>
        <a:solidFill>
          <a:srgbClr val="FFFF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183456</xdr:colOff>
      <xdr:row>17</xdr:row>
      <xdr:rowOff>183453</xdr:rowOff>
    </xdr:from>
    <xdr:to>
      <xdr:col>4</xdr:col>
      <xdr:colOff>432838</xdr:colOff>
      <xdr:row>19</xdr:row>
      <xdr:rowOff>2580</xdr:rowOff>
    </xdr:to>
    <xdr:sp macro="" textlink="">
      <xdr:nvSpPr>
        <xdr:cNvPr id="11" name="Rectangle 10">
          <a:extLst>
            <a:ext uri="{FF2B5EF4-FFF2-40B4-BE49-F238E27FC236}">
              <a16:creationId xmlns:a16="http://schemas.microsoft.com/office/drawing/2014/main" xmlns="" id="{00000000-0008-0000-0000-00000B000000}"/>
            </a:ext>
          </a:extLst>
        </xdr:cNvPr>
        <xdr:cNvSpPr/>
      </xdr:nvSpPr>
      <xdr:spPr>
        <a:xfrm>
          <a:off x="1802706" y="3507678"/>
          <a:ext cx="249382" cy="209652"/>
        </a:xfrm>
        <a:prstGeom prst="rect">
          <a:avLst/>
        </a:prstGeom>
        <a:solidFill>
          <a:srgbClr val="FFFF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183456</xdr:colOff>
      <xdr:row>17</xdr:row>
      <xdr:rowOff>183453</xdr:rowOff>
    </xdr:from>
    <xdr:to>
      <xdr:col>5</xdr:col>
      <xdr:colOff>432838</xdr:colOff>
      <xdr:row>19</xdr:row>
      <xdr:rowOff>2580</xdr:rowOff>
    </xdr:to>
    <xdr:sp macro="" textlink="">
      <xdr:nvSpPr>
        <xdr:cNvPr id="12" name="Rectangle 11">
          <a:extLst>
            <a:ext uri="{FF2B5EF4-FFF2-40B4-BE49-F238E27FC236}">
              <a16:creationId xmlns:a16="http://schemas.microsoft.com/office/drawing/2014/main" xmlns="" id="{00000000-0008-0000-0000-00000C000000}"/>
            </a:ext>
          </a:extLst>
        </xdr:cNvPr>
        <xdr:cNvSpPr/>
      </xdr:nvSpPr>
      <xdr:spPr>
        <a:xfrm>
          <a:off x="2402781" y="3507678"/>
          <a:ext cx="249382" cy="209652"/>
        </a:xfrm>
        <a:prstGeom prst="rect">
          <a:avLst/>
        </a:prstGeom>
        <a:solidFill>
          <a:srgbClr val="FFFF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183456</xdr:colOff>
      <xdr:row>17</xdr:row>
      <xdr:rowOff>183453</xdr:rowOff>
    </xdr:from>
    <xdr:to>
      <xdr:col>6</xdr:col>
      <xdr:colOff>432838</xdr:colOff>
      <xdr:row>19</xdr:row>
      <xdr:rowOff>2580</xdr:rowOff>
    </xdr:to>
    <xdr:sp macro="" textlink="">
      <xdr:nvSpPr>
        <xdr:cNvPr id="13" name="Rectangle 12">
          <a:extLst>
            <a:ext uri="{FF2B5EF4-FFF2-40B4-BE49-F238E27FC236}">
              <a16:creationId xmlns:a16="http://schemas.microsoft.com/office/drawing/2014/main" xmlns="" id="{00000000-0008-0000-0000-00000D000000}"/>
            </a:ext>
          </a:extLst>
        </xdr:cNvPr>
        <xdr:cNvSpPr/>
      </xdr:nvSpPr>
      <xdr:spPr>
        <a:xfrm>
          <a:off x="3002856" y="3507678"/>
          <a:ext cx="249382" cy="209652"/>
        </a:xfrm>
        <a:prstGeom prst="rect">
          <a:avLst/>
        </a:prstGeom>
        <a:solidFill>
          <a:srgbClr val="FFFF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183456</xdr:colOff>
      <xdr:row>17</xdr:row>
      <xdr:rowOff>183453</xdr:rowOff>
    </xdr:from>
    <xdr:to>
      <xdr:col>7</xdr:col>
      <xdr:colOff>432838</xdr:colOff>
      <xdr:row>19</xdr:row>
      <xdr:rowOff>2580</xdr:rowOff>
    </xdr:to>
    <xdr:sp macro="" textlink="">
      <xdr:nvSpPr>
        <xdr:cNvPr id="14" name="Rectangle 13">
          <a:extLst>
            <a:ext uri="{FF2B5EF4-FFF2-40B4-BE49-F238E27FC236}">
              <a16:creationId xmlns:a16="http://schemas.microsoft.com/office/drawing/2014/main" xmlns="" id="{00000000-0008-0000-0000-00000E000000}"/>
            </a:ext>
          </a:extLst>
        </xdr:cNvPr>
        <xdr:cNvSpPr/>
      </xdr:nvSpPr>
      <xdr:spPr>
        <a:xfrm>
          <a:off x="3602931" y="3507678"/>
          <a:ext cx="249382" cy="20965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183456</xdr:colOff>
      <xdr:row>13</xdr:row>
      <xdr:rowOff>183453</xdr:rowOff>
    </xdr:from>
    <xdr:to>
      <xdr:col>7</xdr:col>
      <xdr:colOff>432838</xdr:colOff>
      <xdr:row>15</xdr:row>
      <xdr:rowOff>2580</xdr:rowOff>
    </xdr:to>
    <xdr:sp macro="" textlink="">
      <xdr:nvSpPr>
        <xdr:cNvPr id="15" name="Rectangle 14">
          <a:extLst>
            <a:ext uri="{FF2B5EF4-FFF2-40B4-BE49-F238E27FC236}">
              <a16:creationId xmlns:a16="http://schemas.microsoft.com/office/drawing/2014/main" xmlns="" id="{00000000-0008-0000-0000-00000F000000}"/>
            </a:ext>
          </a:extLst>
        </xdr:cNvPr>
        <xdr:cNvSpPr/>
      </xdr:nvSpPr>
      <xdr:spPr>
        <a:xfrm>
          <a:off x="3602931" y="2726628"/>
          <a:ext cx="249382" cy="2001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856787</xdr:colOff>
      <xdr:row>14</xdr:row>
      <xdr:rowOff>572</xdr:rowOff>
    </xdr:from>
    <xdr:to>
      <xdr:col>7</xdr:col>
      <xdr:colOff>1106169</xdr:colOff>
      <xdr:row>15</xdr:row>
      <xdr:rowOff>19205</xdr:rowOff>
    </xdr:to>
    <xdr:sp macro="" textlink="">
      <xdr:nvSpPr>
        <xdr:cNvPr id="16" name="Rectangle 15">
          <a:extLst>
            <a:ext uri="{FF2B5EF4-FFF2-40B4-BE49-F238E27FC236}">
              <a16:creationId xmlns:a16="http://schemas.microsoft.com/office/drawing/2014/main" xmlns="" id="{00000000-0008-0000-0000-000010000000}"/>
            </a:ext>
          </a:extLst>
        </xdr:cNvPr>
        <xdr:cNvSpPr/>
      </xdr:nvSpPr>
      <xdr:spPr>
        <a:xfrm>
          <a:off x="4276262" y="2734247"/>
          <a:ext cx="249382" cy="20913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781972</xdr:colOff>
      <xdr:row>18</xdr:row>
      <xdr:rowOff>572</xdr:rowOff>
    </xdr:from>
    <xdr:to>
      <xdr:col>7</xdr:col>
      <xdr:colOff>1031354</xdr:colOff>
      <xdr:row>19</xdr:row>
      <xdr:rowOff>19204</xdr:rowOff>
    </xdr:to>
    <xdr:sp macro="" textlink="">
      <xdr:nvSpPr>
        <xdr:cNvPr id="17" name="Rectangle 16">
          <a:extLst>
            <a:ext uri="{FF2B5EF4-FFF2-40B4-BE49-F238E27FC236}">
              <a16:creationId xmlns:a16="http://schemas.microsoft.com/office/drawing/2014/main" xmlns="" id="{00000000-0008-0000-0000-000011000000}"/>
            </a:ext>
          </a:extLst>
        </xdr:cNvPr>
        <xdr:cNvSpPr/>
      </xdr:nvSpPr>
      <xdr:spPr>
        <a:xfrm>
          <a:off x="4201447" y="3524822"/>
          <a:ext cx="249382" cy="2091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183456</xdr:colOff>
      <xdr:row>9</xdr:row>
      <xdr:rowOff>183453</xdr:rowOff>
    </xdr:from>
    <xdr:to>
      <xdr:col>6</xdr:col>
      <xdr:colOff>432838</xdr:colOff>
      <xdr:row>11</xdr:row>
      <xdr:rowOff>0</xdr:rowOff>
    </xdr:to>
    <xdr:sp macro="" textlink="">
      <xdr:nvSpPr>
        <xdr:cNvPr id="18" name="Rectangle 17">
          <a:extLst>
            <a:ext uri="{FF2B5EF4-FFF2-40B4-BE49-F238E27FC236}">
              <a16:creationId xmlns:a16="http://schemas.microsoft.com/office/drawing/2014/main" xmlns="" id="{00000000-0008-0000-0000-000012000000}"/>
            </a:ext>
          </a:extLst>
        </xdr:cNvPr>
        <xdr:cNvSpPr/>
      </xdr:nvSpPr>
      <xdr:spPr>
        <a:xfrm>
          <a:off x="3002856" y="1964628"/>
          <a:ext cx="249382" cy="1975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28575</xdr:colOff>
      <xdr:row>2</xdr:row>
      <xdr:rowOff>15838</xdr:rowOff>
    </xdr:from>
    <xdr:to>
      <xdr:col>8</xdr:col>
      <xdr:colOff>180976</xdr:colOff>
      <xdr:row>7</xdr:row>
      <xdr:rowOff>133350</xdr:rowOff>
    </xdr:to>
    <xdr:pic>
      <xdr:nvPicPr>
        <xdr:cNvPr id="2" name="Picture 1">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4981575" y="349213"/>
          <a:ext cx="1685926" cy="9557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1"/>
  <sheetViews>
    <sheetView workbookViewId="0">
      <pane ySplit="6" topLeftCell="A22" activePane="bottomLeft" state="frozen"/>
      <selection pane="bottomLeft" activeCell="I32" sqref="I32:J32"/>
    </sheetView>
  </sheetViews>
  <sheetFormatPr defaultColWidth="9.33203125" defaultRowHeight="14.4" x14ac:dyDescent="0.3"/>
  <cols>
    <col min="1" max="1" width="9.33203125" style="140"/>
    <col min="2" max="2" width="5.5546875" style="22" customWidth="1"/>
    <col min="3" max="3" width="9.33203125" style="11" customWidth="1"/>
    <col min="4" max="4" width="14" style="11" customWidth="1"/>
    <col min="5" max="5" width="9.33203125" style="11" customWidth="1"/>
    <col min="6" max="7" width="9" style="11" customWidth="1"/>
    <col min="8" max="8" width="31.6640625" style="11" customWidth="1"/>
    <col min="9" max="9" width="6.5546875" style="13" customWidth="1"/>
    <col min="10" max="10" width="22.33203125" style="11" customWidth="1"/>
    <col min="11" max="12" width="9.33203125" style="11"/>
    <col min="13" max="13" width="10" style="11" bestFit="1" customWidth="1"/>
    <col min="14" max="16384" width="9.33203125" style="11"/>
  </cols>
  <sheetData>
    <row r="1" spans="2:11" x14ac:dyDescent="0.3">
      <c r="B1" s="7"/>
      <c r="C1" s="8"/>
      <c r="D1" s="8"/>
      <c r="E1" s="8"/>
      <c r="F1" s="8"/>
      <c r="G1" s="8"/>
      <c r="H1" s="8"/>
      <c r="I1" s="9"/>
      <c r="J1" s="10"/>
    </row>
    <row r="2" spans="2:11" x14ac:dyDescent="0.3">
      <c r="B2" s="12"/>
      <c r="J2" s="14"/>
    </row>
    <row r="3" spans="2:11" ht="15" customHeight="1" x14ac:dyDescent="0.3">
      <c r="B3" s="240" t="s">
        <v>29</v>
      </c>
      <c r="C3" s="241"/>
      <c r="D3" s="241"/>
      <c r="E3" s="241"/>
      <c r="F3" s="241"/>
      <c r="G3" s="241"/>
      <c r="H3" s="241"/>
      <c r="I3" s="241"/>
      <c r="J3" s="242"/>
      <c r="K3" s="15"/>
    </row>
    <row r="4" spans="2:11" ht="15" customHeight="1" x14ac:dyDescent="0.3">
      <c r="B4" s="240"/>
      <c r="C4" s="241"/>
      <c r="D4" s="241"/>
      <c r="E4" s="241"/>
      <c r="F4" s="241"/>
      <c r="G4" s="241"/>
      <c r="H4" s="241"/>
      <c r="I4" s="241"/>
      <c r="J4" s="242"/>
      <c r="K4" s="15"/>
    </row>
    <row r="5" spans="2:11" x14ac:dyDescent="0.3">
      <c r="B5" s="12"/>
      <c r="J5" s="14"/>
    </row>
    <row r="6" spans="2:11" ht="15" thickBot="1" x14ac:dyDescent="0.35">
      <c r="B6" s="16"/>
      <c r="C6" s="17"/>
      <c r="D6" s="17"/>
      <c r="E6" s="17"/>
      <c r="F6" s="17"/>
      <c r="G6" s="17"/>
      <c r="H6" s="17"/>
      <c r="I6" s="18"/>
      <c r="J6" s="19"/>
    </row>
    <row r="7" spans="2:11" ht="18" x14ac:dyDescent="0.35">
      <c r="B7" s="7"/>
      <c r="C7" s="8"/>
      <c r="D7" s="8"/>
      <c r="E7" s="8"/>
      <c r="F7" s="243"/>
      <c r="G7" s="243"/>
      <c r="H7" s="20"/>
      <c r="I7" s="9"/>
      <c r="J7" s="10"/>
    </row>
    <row r="8" spans="2:11" ht="15" thickBot="1" x14ac:dyDescent="0.35">
      <c r="B8" s="244" t="s">
        <v>30</v>
      </c>
      <c r="C8" s="245"/>
      <c r="D8" s="246" t="s">
        <v>31</v>
      </c>
      <c r="E8" s="246"/>
      <c r="H8" s="11" t="s">
        <v>32</v>
      </c>
      <c r="I8" s="246" t="s">
        <v>98</v>
      </c>
      <c r="J8" s="247"/>
    </row>
    <row r="9" spans="2:11" x14ac:dyDescent="0.3">
      <c r="B9" s="91"/>
      <c r="J9" s="14"/>
    </row>
    <row r="10" spans="2:11" x14ac:dyDescent="0.3">
      <c r="B10" s="238" t="s">
        <v>33</v>
      </c>
      <c r="C10" s="239"/>
      <c r="D10" s="22" t="s">
        <v>34</v>
      </c>
      <c r="E10" s="22" t="s">
        <v>35</v>
      </c>
      <c r="F10" s="22" t="s">
        <v>36</v>
      </c>
      <c r="G10" s="23" t="s">
        <v>37</v>
      </c>
      <c r="I10" s="13" t="s">
        <v>104</v>
      </c>
      <c r="J10" s="14"/>
    </row>
    <row r="11" spans="2:11" x14ac:dyDescent="0.3">
      <c r="B11" s="12"/>
      <c r="J11" s="14"/>
    </row>
    <row r="12" spans="2:11" x14ac:dyDescent="0.3">
      <c r="B12" s="12"/>
      <c r="J12" s="14"/>
    </row>
    <row r="13" spans="2:11" x14ac:dyDescent="0.3">
      <c r="B13" s="24"/>
      <c r="I13" s="25" t="s">
        <v>151</v>
      </c>
      <c r="J13" s="26"/>
    </row>
    <row r="14" spans="2:11" x14ac:dyDescent="0.3">
      <c r="B14" s="238" t="s">
        <v>2</v>
      </c>
      <c r="C14" s="239"/>
      <c r="D14" s="22" t="s">
        <v>38</v>
      </c>
      <c r="E14" s="22" t="s">
        <v>39</v>
      </c>
      <c r="F14" s="22" t="s">
        <v>40</v>
      </c>
      <c r="G14" s="22" t="s">
        <v>41</v>
      </c>
      <c r="H14" s="23" t="s">
        <v>42</v>
      </c>
      <c r="J14" s="14"/>
    </row>
    <row r="15" spans="2:11" x14ac:dyDescent="0.3">
      <c r="B15" s="24"/>
      <c r="H15" s="25"/>
      <c r="J15" s="14"/>
    </row>
    <row r="16" spans="2:11" ht="15.75" customHeight="1" x14ac:dyDescent="0.3">
      <c r="B16" s="12"/>
      <c r="E16" s="27"/>
      <c r="J16" s="14"/>
    </row>
    <row r="17" spans="2:10" ht="15.75" customHeight="1" x14ac:dyDescent="0.3">
      <c r="B17" s="12"/>
      <c r="E17" s="27"/>
      <c r="J17" s="14"/>
    </row>
    <row r="18" spans="2:10" ht="15.75" customHeight="1" x14ac:dyDescent="0.3">
      <c r="B18" s="238" t="s">
        <v>43</v>
      </c>
      <c r="C18" s="239"/>
      <c r="D18" s="22" t="s">
        <v>24</v>
      </c>
      <c r="E18" s="22" t="s">
        <v>26</v>
      </c>
      <c r="F18" s="22" t="s">
        <v>25</v>
      </c>
      <c r="G18" s="22" t="s">
        <v>27</v>
      </c>
      <c r="H18" s="23" t="s">
        <v>44</v>
      </c>
      <c r="J18" s="14" t="s">
        <v>104</v>
      </c>
    </row>
    <row r="19" spans="2:10" x14ac:dyDescent="0.3">
      <c r="B19" s="12"/>
      <c r="J19" s="14"/>
    </row>
    <row r="20" spans="2:10" x14ac:dyDescent="0.3">
      <c r="B20" s="91"/>
      <c r="J20" s="21"/>
    </row>
    <row r="21" spans="2:10" ht="15" customHeight="1" x14ac:dyDescent="0.3">
      <c r="B21" s="250" t="s">
        <v>45</v>
      </c>
      <c r="C21" s="251"/>
      <c r="D21" s="251"/>
      <c r="E21" s="251"/>
      <c r="F21" s="251"/>
      <c r="G21" s="251"/>
      <c r="H21" s="251"/>
      <c r="I21" s="251"/>
      <c r="J21" s="252"/>
    </row>
    <row r="22" spans="2:10" ht="15.6" x14ac:dyDescent="0.3">
      <c r="B22" s="12"/>
      <c r="C22" s="28"/>
      <c r="J22" s="14"/>
    </row>
    <row r="23" spans="2:10" s="28" customFormat="1" ht="15.6" x14ac:dyDescent="0.3">
      <c r="B23" s="29"/>
      <c r="C23" s="28" t="s">
        <v>46</v>
      </c>
      <c r="I23" s="92"/>
      <c r="J23" s="30"/>
    </row>
    <row r="24" spans="2:10" x14ac:dyDescent="0.3">
      <c r="B24" s="24"/>
      <c r="J24" s="14"/>
    </row>
    <row r="25" spans="2:10" x14ac:dyDescent="0.3">
      <c r="B25" s="24"/>
      <c r="J25" s="14"/>
    </row>
    <row r="26" spans="2:10" ht="15" thickBot="1" x14ac:dyDescent="0.35">
      <c r="B26" s="244" t="s">
        <v>47</v>
      </c>
      <c r="C26" s="245"/>
      <c r="D26" s="31" t="s">
        <v>65</v>
      </c>
      <c r="E26" s="31"/>
      <c r="H26" s="11" t="s">
        <v>7</v>
      </c>
      <c r="I26" s="248" t="s">
        <v>65</v>
      </c>
      <c r="J26" s="249"/>
    </row>
    <row r="27" spans="2:10" x14ac:dyDescent="0.3">
      <c r="B27" s="91"/>
      <c r="I27" s="25"/>
      <c r="J27" s="26"/>
    </row>
    <row r="28" spans="2:10" x14ac:dyDescent="0.3">
      <c r="B28" s="91"/>
      <c r="I28" s="25"/>
      <c r="J28" s="26"/>
    </row>
    <row r="29" spans="2:10" ht="15" thickBot="1" x14ac:dyDescent="0.35">
      <c r="B29" s="244" t="s">
        <v>48</v>
      </c>
      <c r="C29" s="245"/>
      <c r="D29" s="31" t="s">
        <v>157</v>
      </c>
      <c r="E29" s="31"/>
      <c r="H29" s="11" t="s">
        <v>49</v>
      </c>
      <c r="I29" s="248" t="s">
        <v>142</v>
      </c>
      <c r="J29" s="249"/>
    </row>
    <row r="30" spans="2:10" x14ac:dyDescent="0.3">
      <c r="B30" s="91"/>
      <c r="I30" s="25"/>
      <c r="J30" s="26"/>
    </row>
    <row r="31" spans="2:10" x14ac:dyDescent="0.3">
      <c r="B31" s="24"/>
      <c r="J31" s="14"/>
    </row>
    <row r="32" spans="2:10" ht="15" thickBot="1" x14ac:dyDescent="0.35">
      <c r="B32" s="244" t="s">
        <v>50</v>
      </c>
      <c r="C32" s="245"/>
      <c r="D32" s="31" t="s">
        <v>245</v>
      </c>
      <c r="E32" s="31"/>
      <c r="H32" s="23" t="s">
        <v>51</v>
      </c>
      <c r="I32" s="248" t="s">
        <v>239</v>
      </c>
      <c r="J32" s="249"/>
    </row>
    <row r="33" spans="2:10" x14ac:dyDescent="0.3">
      <c r="B33" s="24"/>
      <c r="J33" s="14"/>
    </row>
    <row r="34" spans="2:10" x14ac:dyDescent="0.3">
      <c r="B34" s="12"/>
      <c r="J34" s="14"/>
    </row>
    <row r="35" spans="2:10" x14ac:dyDescent="0.3">
      <c r="B35" s="12"/>
      <c r="C35" s="32" t="s">
        <v>52</v>
      </c>
      <c r="H35" s="32" t="s">
        <v>53</v>
      </c>
      <c r="J35" s="14"/>
    </row>
    <row r="36" spans="2:10" x14ac:dyDescent="0.3">
      <c r="B36" s="12"/>
      <c r="J36" s="14"/>
    </row>
    <row r="37" spans="2:10" ht="15" thickBot="1" x14ac:dyDescent="0.35">
      <c r="B37" s="12"/>
      <c r="C37" s="11" t="s">
        <v>54</v>
      </c>
      <c r="D37" s="31" t="s">
        <v>150</v>
      </c>
      <c r="E37" s="31"/>
      <c r="H37" s="11" t="s">
        <v>54</v>
      </c>
      <c r="I37" s="31" t="s">
        <v>66</v>
      </c>
      <c r="J37" s="33"/>
    </row>
    <row r="38" spans="2:10" x14ac:dyDescent="0.3">
      <c r="B38" s="12"/>
      <c r="I38" s="11"/>
      <c r="J38" s="14"/>
    </row>
    <row r="39" spans="2:10" ht="15" thickBot="1" x14ac:dyDescent="0.35">
      <c r="B39" s="12"/>
      <c r="C39" s="11" t="s">
        <v>55</v>
      </c>
      <c r="D39" s="31"/>
      <c r="E39" s="31"/>
      <c r="H39" s="11" t="s">
        <v>55</v>
      </c>
      <c r="I39" s="31"/>
      <c r="J39" s="33"/>
    </row>
    <row r="40" spans="2:10" x14ac:dyDescent="0.3">
      <c r="B40" s="12"/>
      <c r="I40" s="11"/>
      <c r="J40" s="14"/>
    </row>
    <row r="41" spans="2:10" ht="15" thickBot="1" x14ac:dyDescent="0.35">
      <c r="B41" s="12"/>
      <c r="C41" s="11" t="s">
        <v>56</v>
      </c>
      <c r="D41" s="31"/>
      <c r="E41" s="31"/>
      <c r="H41" s="11" t="s">
        <v>56</v>
      </c>
      <c r="I41" s="31"/>
      <c r="J41" s="33"/>
    </row>
    <row r="42" spans="2:10" x14ac:dyDescent="0.3">
      <c r="B42" s="12"/>
      <c r="I42" s="11"/>
      <c r="J42" s="14"/>
    </row>
    <row r="43" spans="2:10" x14ac:dyDescent="0.3">
      <c r="B43" s="12"/>
      <c r="I43" s="11"/>
      <c r="J43" s="14"/>
    </row>
    <row r="44" spans="2:10" x14ac:dyDescent="0.3">
      <c r="B44" s="12"/>
      <c r="C44" s="32" t="s">
        <v>57</v>
      </c>
      <c r="I44" s="11"/>
      <c r="J44" s="14"/>
    </row>
    <row r="45" spans="2:10" ht="15" thickBot="1" x14ac:dyDescent="0.35">
      <c r="B45" s="12"/>
      <c r="C45" s="17"/>
      <c r="D45" s="17"/>
      <c r="E45" s="17"/>
      <c r="F45" s="17"/>
      <c r="G45" s="17"/>
      <c r="H45" s="17"/>
      <c r="I45" s="17"/>
      <c r="J45" s="14"/>
    </row>
    <row r="46" spans="2:10" ht="15" thickBot="1" x14ac:dyDescent="0.35">
      <c r="B46" s="12"/>
      <c r="C46" s="17"/>
      <c r="D46" s="17"/>
      <c r="E46" s="17"/>
      <c r="F46" s="17"/>
      <c r="G46" s="17"/>
      <c r="H46" s="17"/>
      <c r="I46" s="17"/>
      <c r="J46" s="14"/>
    </row>
    <row r="47" spans="2:10" ht="15" thickBot="1" x14ac:dyDescent="0.35">
      <c r="B47" s="12"/>
      <c r="C47" s="17"/>
      <c r="D47" s="17"/>
      <c r="E47" s="17"/>
      <c r="F47" s="17"/>
      <c r="G47" s="17"/>
      <c r="H47" s="17"/>
      <c r="I47" s="17"/>
      <c r="J47" s="14"/>
    </row>
    <row r="48" spans="2:10" ht="15" thickBot="1" x14ac:dyDescent="0.35">
      <c r="B48" s="12"/>
      <c r="C48" s="17"/>
      <c r="D48" s="17"/>
      <c r="E48" s="17"/>
      <c r="F48" s="17"/>
      <c r="G48" s="17"/>
      <c r="H48" s="17"/>
      <c r="I48" s="17"/>
      <c r="J48" s="14"/>
    </row>
    <row r="49" spans="2:10" x14ac:dyDescent="0.3">
      <c r="B49" s="12"/>
      <c r="I49" s="11"/>
      <c r="J49" s="14"/>
    </row>
    <row r="50" spans="2:10" x14ac:dyDescent="0.3">
      <c r="B50" s="12"/>
      <c r="C50" s="32" t="s">
        <v>58</v>
      </c>
      <c r="D50" s="11" t="s">
        <v>59</v>
      </c>
      <c r="I50" s="11"/>
      <c r="J50" s="14"/>
    </row>
    <row r="51" spans="2:10" s="38" customFormat="1" ht="10.8" thickBot="1" x14ac:dyDescent="0.25">
      <c r="B51" s="34"/>
      <c r="C51" s="35"/>
      <c r="D51" s="35"/>
      <c r="E51" s="35"/>
      <c r="F51" s="35"/>
      <c r="G51" s="35"/>
      <c r="H51" s="35"/>
      <c r="I51" s="36"/>
      <c r="J51" s="37"/>
    </row>
  </sheetData>
  <mergeCells count="15">
    <mergeCell ref="B32:C32"/>
    <mergeCell ref="I32:J32"/>
    <mergeCell ref="B14:C14"/>
    <mergeCell ref="B18:C18"/>
    <mergeCell ref="B21:J21"/>
    <mergeCell ref="B26:C26"/>
    <mergeCell ref="I26:J26"/>
    <mergeCell ref="B29:C29"/>
    <mergeCell ref="I29:J29"/>
    <mergeCell ref="B10:C10"/>
    <mergeCell ref="B3:J4"/>
    <mergeCell ref="F7:G7"/>
    <mergeCell ref="B8:C8"/>
    <mergeCell ref="D8:E8"/>
    <mergeCell ref="I8:J8"/>
  </mergeCells>
  <printOptions horizontalCentered="1"/>
  <pageMargins left="0.39370078740157483" right="0.39370078740157483" top="0.59055118110236227" bottom="0.59055118110236227" header="0.19685039370078741" footer="0.19685039370078741"/>
  <pageSetup paperSize="9" scale="75"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3:Z41"/>
  <sheetViews>
    <sheetView zoomScale="25" zoomScaleNormal="25" workbookViewId="0">
      <selection activeCell="C12" sqref="C12:C33"/>
    </sheetView>
  </sheetViews>
  <sheetFormatPr defaultColWidth="9.33203125" defaultRowHeight="16.2" x14ac:dyDescent="0.3"/>
  <cols>
    <col min="1" max="2" width="9.33203125" style="2"/>
    <col min="3" max="3" width="22.44140625" style="2" customWidth="1"/>
    <col min="4" max="4" width="80.6640625" style="2" customWidth="1"/>
    <col min="5" max="5" width="82.6640625" style="2" customWidth="1"/>
    <col min="6" max="6" width="92.6640625" style="2" customWidth="1"/>
    <col min="7" max="7" width="28.6640625" style="2" customWidth="1"/>
    <col min="8" max="8" width="30.44140625" style="2" customWidth="1"/>
    <col min="9" max="9" width="52.44140625" style="2" customWidth="1"/>
    <col min="10" max="10" width="43" style="2" customWidth="1"/>
    <col min="11" max="11" width="54.44140625" style="2" customWidth="1"/>
    <col min="12" max="12" width="55.88671875" style="2" customWidth="1"/>
    <col min="13" max="13" width="53.6640625" style="2" customWidth="1"/>
    <col min="14" max="14" width="38.5546875" style="2" customWidth="1"/>
    <col min="15" max="15" width="58.109375" style="2" customWidth="1"/>
    <col min="16" max="20" width="9.33203125" style="2"/>
    <col min="21" max="24" width="32.6640625" style="2" customWidth="1"/>
    <col min="25" max="16384" width="9.33203125" style="2"/>
  </cols>
  <sheetData>
    <row r="3" spans="3:24" ht="16.8" thickBot="1" x14ac:dyDescent="0.35"/>
    <row r="4" spans="3:24" ht="18" thickBot="1" x14ac:dyDescent="0.35">
      <c r="C4" s="85"/>
      <c r="D4" s="86"/>
      <c r="E4" s="86"/>
      <c r="F4" s="86"/>
      <c r="G4" s="86"/>
      <c r="H4" s="86"/>
      <c r="I4" s="86"/>
      <c r="J4" s="86"/>
      <c r="K4" s="86"/>
      <c r="L4" s="86"/>
      <c r="M4" s="86"/>
      <c r="N4" s="86"/>
      <c r="O4" s="87"/>
    </row>
    <row r="5" spans="3:24" s="5" customFormat="1" ht="101.25" customHeight="1" thickBot="1" x14ac:dyDescent="0.4">
      <c r="C5" s="253" t="s">
        <v>29</v>
      </c>
      <c r="D5" s="254"/>
      <c r="E5" s="254"/>
      <c r="F5" s="254"/>
      <c r="G5" s="254"/>
      <c r="H5" s="254"/>
      <c r="I5" s="254"/>
      <c r="J5" s="254"/>
      <c r="K5" s="254"/>
      <c r="L5" s="254"/>
      <c r="M5" s="254"/>
      <c r="N5" s="254"/>
      <c r="O5" s="255"/>
    </row>
    <row r="6" spans="3:24" ht="23.25" customHeight="1" x14ac:dyDescent="0.3">
      <c r="C6" s="256" t="s">
        <v>162</v>
      </c>
      <c r="D6" s="257"/>
      <c r="E6" s="257"/>
      <c r="F6" s="257"/>
      <c r="G6" s="257"/>
      <c r="H6" s="257"/>
      <c r="I6" s="257"/>
      <c r="J6" s="257"/>
      <c r="K6" s="257"/>
      <c r="L6" s="257"/>
      <c r="M6" s="257"/>
      <c r="N6" s="257"/>
      <c r="O6" s="258"/>
    </row>
    <row r="7" spans="3:24" ht="23.25" customHeight="1" x14ac:dyDescent="0.3">
      <c r="C7" s="259"/>
      <c r="D7" s="260"/>
      <c r="E7" s="260"/>
      <c r="F7" s="260"/>
      <c r="G7" s="260"/>
      <c r="H7" s="260"/>
      <c r="I7" s="260"/>
      <c r="J7" s="260"/>
      <c r="K7" s="260"/>
      <c r="L7" s="260"/>
      <c r="M7" s="260"/>
      <c r="N7" s="260"/>
      <c r="O7" s="261"/>
    </row>
    <row r="8" spans="3:24" ht="23.25" customHeight="1" x14ac:dyDescent="0.3">
      <c r="C8" s="259"/>
      <c r="D8" s="260"/>
      <c r="E8" s="260"/>
      <c r="F8" s="260"/>
      <c r="G8" s="260"/>
      <c r="H8" s="260"/>
      <c r="I8" s="260"/>
      <c r="J8" s="260"/>
      <c r="K8" s="260"/>
      <c r="L8" s="260"/>
      <c r="M8" s="260"/>
      <c r="N8" s="260"/>
      <c r="O8" s="261"/>
    </row>
    <row r="9" spans="3:24" ht="144.6" customHeight="1" thickBot="1" x14ac:dyDescent="0.35">
      <c r="C9" s="262"/>
      <c r="D9" s="263"/>
      <c r="E9" s="263"/>
      <c r="F9" s="263"/>
      <c r="G9" s="263"/>
      <c r="H9" s="263"/>
      <c r="I9" s="263"/>
      <c r="J9" s="263"/>
      <c r="K9" s="263"/>
      <c r="L9" s="263"/>
      <c r="M9" s="263"/>
      <c r="N9" s="263"/>
      <c r="O9" s="264"/>
    </row>
    <row r="10" spans="3:24" ht="18.600000000000001" thickTop="1" thickBot="1" x14ac:dyDescent="0.35">
      <c r="C10" s="89"/>
      <c r="D10" s="42"/>
      <c r="E10" s="42"/>
      <c r="F10" s="42"/>
      <c r="G10" s="42"/>
      <c r="H10" s="42"/>
      <c r="I10" s="42"/>
      <c r="J10" s="42"/>
      <c r="K10" s="42"/>
      <c r="L10" s="42"/>
      <c r="M10" s="42"/>
      <c r="N10" s="42"/>
      <c r="O10" s="43"/>
    </row>
    <row r="11" spans="3:24" ht="94.5" customHeight="1" thickBot="1" x14ac:dyDescent="0.35">
      <c r="C11" s="198" t="s">
        <v>6</v>
      </c>
      <c r="D11" s="198" t="s">
        <v>137</v>
      </c>
      <c r="E11" s="198" t="s">
        <v>131</v>
      </c>
      <c r="F11" s="198" t="s">
        <v>140</v>
      </c>
      <c r="G11" s="198" t="s">
        <v>132</v>
      </c>
      <c r="H11" s="198" t="s">
        <v>8</v>
      </c>
      <c r="I11" s="198" t="s">
        <v>9</v>
      </c>
      <c r="J11" s="198" t="s">
        <v>28</v>
      </c>
      <c r="K11" s="198" t="s">
        <v>60</v>
      </c>
      <c r="L11" s="198" t="s">
        <v>11</v>
      </c>
      <c r="M11" s="198" t="s">
        <v>10</v>
      </c>
      <c r="N11" s="198" t="s">
        <v>138</v>
      </c>
      <c r="O11" s="198" t="s">
        <v>14</v>
      </c>
      <c r="U11" s="157" t="s">
        <v>152</v>
      </c>
      <c r="V11" s="157" t="s">
        <v>153</v>
      </c>
      <c r="W11" s="157" t="s">
        <v>154</v>
      </c>
      <c r="X11" s="157" t="s">
        <v>155</v>
      </c>
    </row>
    <row r="12" spans="3:24" ht="70.5" customHeight="1" thickBot="1" x14ac:dyDescent="0.35">
      <c r="C12" s="199">
        <v>1</v>
      </c>
      <c r="D12" s="216" t="s">
        <v>166</v>
      </c>
      <c r="E12" s="216" t="s">
        <v>167</v>
      </c>
      <c r="F12" s="216" t="s">
        <v>168</v>
      </c>
      <c r="G12" s="216">
        <v>1</v>
      </c>
      <c r="H12" s="217" t="s">
        <v>24</v>
      </c>
      <c r="I12" s="216" t="s">
        <v>169</v>
      </c>
      <c r="J12" s="218" t="s">
        <v>170</v>
      </c>
      <c r="K12" s="204" t="s">
        <v>171</v>
      </c>
      <c r="L12" s="204">
        <v>255623353</v>
      </c>
      <c r="M12" s="219">
        <v>46051</v>
      </c>
      <c r="N12" s="219">
        <v>46053</v>
      </c>
      <c r="O12" s="215" t="s">
        <v>139</v>
      </c>
      <c r="U12" s="211">
        <v>14</v>
      </c>
      <c r="V12" s="211">
        <v>126</v>
      </c>
      <c r="W12" s="211">
        <f>U12-V12</f>
        <v>-112</v>
      </c>
      <c r="X12" s="211">
        <v>14</v>
      </c>
    </row>
    <row r="13" spans="3:24" ht="61.5" customHeight="1" thickBot="1" x14ac:dyDescent="0.35">
      <c r="C13" s="199">
        <v>2</v>
      </c>
      <c r="D13" s="216" t="s">
        <v>172</v>
      </c>
      <c r="E13" s="216" t="s">
        <v>173</v>
      </c>
      <c r="F13" s="216" t="s">
        <v>174</v>
      </c>
      <c r="G13" s="216">
        <v>1</v>
      </c>
      <c r="H13" s="217" t="s">
        <v>24</v>
      </c>
      <c r="I13" s="216" t="s">
        <v>160</v>
      </c>
      <c r="J13" s="218" t="s">
        <v>170</v>
      </c>
      <c r="K13" s="204" t="s">
        <v>171</v>
      </c>
      <c r="L13" s="204">
        <v>275977438</v>
      </c>
      <c r="M13" s="219">
        <v>46051</v>
      </c>
      <c r="N13" s="219">
        <v>46053</v>
      </c>
      <c r="O13" s="215" t="s">
        <v>139</v>
      </c>
      <c r="U13" s="211">
        <v>126</v>
      </c>
      <c r="V13" s="211">
        <v>193</v>
      </c>
      <c r="W13" s="211">
        <f t="shared" ref="W13:W33" si="0">U13-V13</f>
        <v>-67</v>
      </c>
      <c r="X13" s="211">
        <v>126</v>
      </c>
    </row>
    <row r="14" spans="3:24" ht="70.5" customHeight="1" thickBot="1" x14ac:dyDescent="0.35">
      <c r="C14" s="199">
        <v>3</v>
      </c>
      <c r="D14" s="216" t="s">
        <v>175</v>
      </c>
      <c r="E14" s="216" t="s">
        <v>176</v>
      </c>
      <c r="F14" s="216" t="s">
        <v>177</v>
      </c>
      <c r="G14" s="216">
        <v>1</v>
      </c>
      <c r="H14" s="217" t="s">
        <v>24</v>
      </c>
      <c r="I14" s="216" t="s">
        <v>160</v>
      </c>
      <c r="J14" s="218" t="s">
        <v>170</v>
      </c>
      <c r="K14" s="204" t="s">
        <v>171</v>
      </c>
      <c r="L14" s="204">
        <v>275977591</v>
      </c>
      <c r="M14" s="219">
        <v>46051</v>
      </c>
      <c r="N14" s="219">
        <v>46053</v>
      </c>
      <c r="O14" s="215" t="s">
        <v>139</v>
      </c>
      <c r="U14" s="211">
        <v>35</v>
      </c>
      <c r="V14" s="211">
        <v>216</v>
      </c>
      <c r="W14" s="211">
        <f t="shared" si="0"/>
        <v>-181</v>
      </c>
      <c r="X14" s="211">
        <v>35</v>
      </c>
    </row>
    <row r="15" spans="3:24" ht="70.5" customHeight="1" thickBot="1" x14ac:dyDescent="0.35">
      <c r="C15" s="199">
        <v>4</v>
      </c>
      <c r="D15" s="216" t="s">
        <v>178</v>
      </c>
      <c r="E15" s="216" t="s">
        <v>179</v>
      </c>
      <c r="F15" s="216" t="s">
        <v>180</v>
      </c>
      <c r="G15" s="216">
        <v>1</v>
      </c>
      <c r="H15" s="217" t="s">
        <v>24</v>
      </c>
      <c r="I15" s="216" t="s">
        <v>160</v>
      </c>
      <c r="J15" s="218" t="s">
        <v>170</v>
      </c>
      <c r="K15" s="204" t="s">
        <v>171</v>
      </c>
      <c r="L15" s="204">
        <v>275977592</v>
      </c>
      <c r="M15" s="219">
        <v>46051</v>
      </c>
      <c r="N15" s="219">
        <v>46053</v>
      </c>
      <c r="O15" s="215" t="s">
        <v>139</v>
      </c>
      <c r="U15" s="211">
        <v>5</v>
      </c>
      <c r="V15" s="211">
        <v>218</v>
      </c>
      <c r="W15" s="211">
        <f t="shared" si="0"/>
        <v>-213</v>
      </c>
      <c r="X15" s="211">
        <v>5</v>
      </c>
    </row>
    <row r="16" spans="3:24" ht="70.5" customHeight="1" thickBot="1" x14ac:dyDescent="0.35">
      <c r="C16" s="199">
        <v>5</v>
      </c>
      <c r="D16" s="216" t="s">
        <v>181</v>
      </c>
      <c r="E16" s="216" t="s">
        <v>182</v>
      </c>
      <c r="F16" s="216" t="s">
        <v>183</v>
      </c>
      <c r="G16" s="216">
        <v>1</v>
      </c>
      <c r="H16" s="217" t="s">
        <v>24</v>
      </c>
      <c r="I16" s="216" t="s">
        <v>169</v>
      </c>
      <c r="J16" s="218" t="s">
        <v>170</v>
      </c>
      <c r="K16" s="204" t="s">
        <v>171</v>
      </c>
      <c r="L16" s="204">
        <v>275991865</v>
      </c>
      <c r="M16" s="219">
        <v>46051</v>
      </c>
      <c r="N16" s="219">
        <v>46057</v>
      </c>
      <c r="O16" s="215" t="s">
        <v>139</v>
      </c>
      <c r="U16" s="211">
        <v>62</v>
      </c>
      <c r="V16" s="211">
        <v>128</v>
      </c>
      <c r="W16" s="211">
        <f t="shared" si="0"/>
        <v>-66</v>
      </c>
      <c r="X16" s="211">
        <v>62</v>
      </c>
    </row>
    <row r="17" spans="3:24" ht="87" customHeight="1" thickBot="1" x14ac:dyDescent="0.35">
      <c r="C17" s="199">
        <v>6</v>
      </c>
      <c r="D17" s="216" t="s">
        <v>184</v>
      </c>
      <c r="E17" s="216" t="s">
        <v>185</v>
      </c>
      <c r="F17" s="216" t="s">
        <v>186</v>
      </c>
      <c r="G17" s="216">
        <v>1</v>
      </c>
      <c r="H17" s="217" t="s">
        <v>24</v>
      </c>
      <c r="I17" s="216" t="s">
        <v>187</v>
      </c>
      <c r="J17" s="218" t="s">
        <v>170</v>
      </c>
      <c r="K17" s="204" t="s">
        <v>171</v>
      </c>
      <c r="L17" s="204">
        <v>256653182</v>
      </c>
      <c r="M17" s="219">
        <v>46051</v>
      </c>
      <c r="N17" s="219">
        <v>46055</v>
      </c>
      <c r="O17" s="215" t="s">
        <v>139</v>
      </c>
      <c r="U17" s="211">
        <v>167</v>
      </c>
      <c r="V17" s="211">
        <v>229</v>
      </c>
      <c r="W17" s="211">
        <f t="shared" si="0"/>
        <v>-62</v>
      </c>
      <c r="X17" s="211">
        <v>167</v>
      </c>
    </row>
    <row r="18" spans="3:24" ht="87" customHeight="1" thickBot="1" x14ac:dyDescent="0.35">
      <c r="C18" s="199">
        <v>7</v>
      </c>
      <c r="D18" s="216" t="s">
        <v>188</v>
      </c>
      <c r="E18" s="216" t="s">
        <v>189</v>
      </c>
      <c r="F18" s="216" t="s">
        <v>190</v>
      </c>
      <c r="G18" s="216">
        <v>1</v>
      </c>
      <c r="H18" s="217" t="s">
        <v>24</v>
      </c>
      <c r="I18" s="216" t="s">
        <v>160</v>
      </c>
      <c r="J18" s="218" t="s">
        <v>170</v>
      </c>
      <c r="K18" s="204" t="s">
        <v>171</v>
      </c>
      <c r="L18" s="204">
        <v>275977586</v>
      </c>
      <c r="M18" s="219">
        <v>46051</v>
      </c>
      <c r="N18" s="219">
        <v>46055</v>
      </c>
      <c r="O18" s="215" t="s">
        <v>139</v>
      </c>
      <c r="U18" s="207">
        <v>30</v>
      </c>
      <c r="V18" s="207">
        <v>247</v>
      </c>
      <c r="W18" s="211">
        <f t="shared" si="0"/>
        <v>-217</v>
      </c>
      <c r="X18" s="207">
        <v>30</v>
      </c>
    </row>
    <row r="19" spans="3:24" ht="87" customHeight="1" thickBot="1" x14ac:dyDescent="0.35">
      <c r="C19" s="199">
        <v>8</v>
      </c>
      <c r="D19" s="216" t="s">
        <v>191</v>
      </c>
      <c r="E19" s="216" t="s">
        <v>192</v>
      </c>
      <c r="F19" s="216" t="s">
        <v>193</v>
      </c>
      <c r="G19" s="216">
        <v>1</v>
      </c>
      <c r="H19" s="217" t="s">
        <v>24</v>
      </c>
      <c r="I19" s="216" t="s">
        <v>161</v>
      </c>
      <c r="J19" s="218" t="s">
        <v>170</v>
      </c>
      <c r="K19" s="204" t="s">
        <v>171</v>
      </c>
      <c r="L19" s="204">
        <v>275977441</v>
      </c>
      <c r="M19" s="219">
        <v>46051</v>
      </c>
      <c r="N19" s="219">
        <v>46055</v>
      </c>
      <c r="O19" s="215" t="s">
        <v>139</v>
      </c>
      <c r="U19" s="211">
        <v>114</v>
      </c>
      <c r="V19" s="211">
        <v>179</v>
      </c>
      <c r="W19" s="211">
        <f t="shared" si="0"/>
        <v>-65</v>
      </c>
      <c r="X19" s="211">
        <v>114</v>
      </c>
    </row>
    <row r="20" spans="3:24" ht="87" customHeight="1" thickBot="1" x14ac:dyDescent="0.35">
      <c r="C20" s="199">
        <v>9</v>
      </c>
      <c r="D20" s="216" t="s">
        <v>194</v>
      </c>
      <c r="E20" s="216" t="s">
        <v>195</v>
      </c>
      <c r="F20" s="216" t="s">
        <v>196</v>
      </c>
      <c r="G20" s="216">
        <v>2</v>
      </c>
      <c r="H20" s="217" t="s">
        <v>24</v>
      </c>
      <c r="I20" s="216" t="s">
        <v>161</v>
      </c>
      <c r="J20" s="218" t="s">
        <v>170</v>
      </c>
      <c r="K20" s="204" t="s">
        <v>171</v>
      </c>
      <c r="L20" s="204">
        <v>275977552</v>
      </c>
      <c r="M20" s="219">
        <v>46051</v>
      </c>
      <c r="N20" s="219">
        <v>46053</v>
      </c>
      <c r="O20" s="215" t="s">
        <v>139</v>
      </c>
      <c r="U20" s="211">
        <v>8</v>
      </c>
      <c r="V20" s="211">
        <v>184</v>
      </c>
      <c r="W20" s="211">
        <f t="shared" si="0"/>
        <v>-176</v>
      </c>
      <c r="X20" s="211">
        <v>8</v>
      </c>
    </row>
    <row r="21" spans="3:24" ht="87" customHeight="1" thickBot="1" x14ac:dyDescent="0.35">
      <c r="C21" s="199">
        <v>10</v>
      </c>
      <c r="D21" s="216" t="s">
        <v>197</v>
      </c>
      <c r="E21" s="216" t="s">
        <v>198</v>
      </c>
      <c r="F21" s="216" t="s">
        <v>199</v>
      </c>
      <c r="G21" s="216">
        <v>3</v>
      </c>
      <c r="H21" s="217" t="s">
        <v>24</v>
      </c>
      <c r="I21" s="216" t="s">
        <v>161</v>
      </c>
      <c r="J21" s="218" t="s">
        <v>170</v>
      </c>
      <c r="K21" s="204" t="s">
        <v>171</v>
      </c>
      <c r="L21" s="204">
        <v>275977597</v>
      </c>
      <c r="M21" s="219">
        <v>46051</v>
      </c>
      <c r="N21" s="219">
        <v>46055</v>
      </c>
      <c r="O21" s="215" t="s">
        <v>139</v>
      </c>
      <c r="U21" s="211">
        <v>40</v>
      </c>
      <c r="V21" s="211">
        <v>221</v>
      </c>
      <c r="W21" s="211">
        <f t="shared" si="0"/>
        <v>-181</v>
      </c>
      <c r="X21" s="211">
        <v>40</v>
      </c>
    </row>
    <row r="22" spans="3:24" ht="87" customHeight="1" thickBot="1" x14ac:dyDescent="0.35">
      <c r="C22" s="199">
        <v>11</v>
      </c>
      <c r="D22" s="216" t="s">
        <v>200</v>
      </c>
      <c r="E22" s="216" t="s">
        <v>201</v>
      </c>
      <c r="F22" s="216" t="s">
        <v>202</v>
      </c>
      <c r="G22" s="216">
        <v>1</v>
      </c>
      <c r="H22" s="217" t="s">
        <v>24</v>
      </c>
      <c r="I22" s="216" t="s">
        <v>161</v>
      </c>
      <c r="J22" s="218" t="s">
        <v>170</v>
      </c>
      <c r="K22" s="204" t="s">
        <v>171</v>
      </c>
      <c r="L22" s="204">
        <v>275977435</v>
      </c>
      <c r="M22" s="219">
        <v>46051</v>
      </c>
      <c r="N22" s="219">
        <v>46052</v>
      </c>
      <c r="O22" s="215" t="s">
        <v>139</v>
      </c>
      <c r="U22" s="211">
        <v>168</v>
      </c>
      <c r="V22" s="211">
        <v>212</v>
      </c>
      <c r="W22" s="211">
        <f t="shared" si="0"/>
        <v>-44</v>
      </c>
      <c r="X22" s="211">
        <v>168</v>
      </c>
    </row>
    <row r="23" spans="3:24" ht="87" customHeight="1" thickBot="1" x14ac:dyDescent="0.35">
      <c r="C23" s="199">
        <v>12</v>
      </c>
      <c r="D23" s="216" t="s">
        <v>203</v>
      </c>
      <c r="E23" s="216" t="s">
        <v>204</v>
      </c>
      <c r="F23" s="216" t="s">
        <v>205</v>
      </c>
      <c r="G23" s="216">
        <v>1</v>
      </c>
      <c r="H23" s="217" t="s">
        <v>24</v>
      </c>
      <c r="I23" s="216" t="s">
        <v>161</v>
      </c>
      <c r="J23" s="218" t="s">
        <v>170</v>
      </c>
      <c r="K23" s="204" t="s">
        <v>171</v>
      </c>
      <c r="L23" s="204">
        <v>275977437</v>
      </c>
      <c r="M23" s="219">
        <v>46051</v>
      </c>
      <c r="N23" s="219">
        <v>46053</v>
      </c>
      <c r="O23" s="215" t="s">
        <v>139</v>
      </c>
      <c r="U23" s="211">
        <v>21</v>
      </c>
      <c r="V23" s="211">
        <v>193</v>
      </c>
      <c r="W23" s="211">
        <f t="shared" si="0"/>
        <v>-172</v>
      </c>
      <c r="X23" s="211">
        <v>21</v>
      </c>
    </row>
    <row r="24" spans="3:24" ht="87" customHeight="1" thickBot="1" x14ac:dyDescent="0.35">
      <c r="C24" s="199">
        <v>13</v>
      </c>
      <c r="D24" s="216" t="s">
        <v>206</v>
      </c>
      <c r="E24" s="216" t="s">
        <v>207</v>
      </c>
      <c r="F24" s="216" t="s">
        <v>208</v>
      </c>
      <c r="G24" s="216">
        <v>1</v>
      </c>
      <c r="H24" s="217" t="s">
        <v>24</v>
      </c>
      <c r="I24" s="216" t="s">
        <v>161</v>
      </c>
      <c r="J24" s="218" t="s">
        <v>170</v>
      </c>
      <c r="K24" s="204" t="s">
        <v>171</v>
      </c>
      <c r="L24" s="204">
        <v>275977432</v>
      </c>
      <c r="M24" s="219">
        <v>46051</v>
      </c>
      <c r="N24" s="219">
        <v>46053</v>
      </c>
      <c r="O24" s="215" t="s">
        <v>139</v>
      </c>
      <c r="U24" s="211">
        <v>20</v>
      </c>
      <c r="V24" s="211">
        <v>193</v>
      </c>
      <c r="W24" s="211">
        <f t="shared" si="0"/>
        <v>-173</v>
      </c>
      <c r="X24" s="211">
        <v>20</v>
      </c>
    </row>
    <row r="25" spans="3:24" ht="87" customHeight="1" thickBot="1" x14ac:dyDescent="0.35">
      <c r="C25" s="199">
        <v>14</v>
      </c>
      <c r="D25" s="216" t="s">
        <v>209</v>
      </c>
      <c r="E25" s="216" t="s">
        <v>210</v>
      </c>
      <c r="F25" s="216" t="s">
        <v>211</v>
      </c>
      <c r="G25" s="216">
        <v>1</v>
      </c>
      <c r="H25" s="217" t="s">
        <v>24</v>
      </c>
      <c r="I25" s="216" t="s">
        <v>161</v>
      </c>
      <c r="J25" s="218" t="s">
        <v>170</v>
      </c>
      <c r="K25" s="204" t="s">
        <v>171</v>
      </c>
      <c r="L25" s="204">
        <v>275977564</v>
      </c>
      <c r="M25" s="219">
        <v>46051</v>
      </c>
      <c r="N25" s="219">
        <v>46052</v>
      </c>
      <c r="O25" s="215" t="s">
        <v>139</v>
      </c>
      <c r="U25" s="211">
        <v>71</v>
      </c>
      <c r="V25" s="220">
        <v>129</v>
      </c>
      <c r="W25" s="211">
        <f t="shared" si="0"/>
        <v>-58</v>
      </c>
      <c r="X25" s="211">
        <v>71</v>
      </c>
    </row>
    <row r="26" spans="3:24" ht="87" customHeight="1" thickBot="1" x14ac:dyDescent="0.35">
      <c r="C26" s="199">
        <v>15</v>
      </c>
      <c r="D26" s="216" t="s">
        <v>212</v>
      </c>
      <c r="E26" s="216" t="s">
        <v>213</v>
      </c>
      <c r="F26" s="216" t="s">
        <v>214</v>
      </c>
      <c r="G26" s="216">
        <v>1</v>
      </c>
      <c r="H26" s="217" t="s">
        <v>24</v>
      </c>
      <c r="I26" s="216" t="s">
        <v>161</v>
      </c>
      <c r="J26" s="218" t="s">
        <v>170</v>
      </c>
      <c r="K26" s="204" t="s">
        <v>171</v>
      </c>
      <c r="L26" s="204">
        <v>275977429</v>
      </c>
      <c r="M26" s="219">
        <v>46051</v>
      </c>
      <c r="N26" s="219">
        <v>46052</v>
      </c>
      <c r="O26" s="215" t="s">
        <v>139</v>
      </c>
      <c r="U26" s="211">
        <v>21</v>
      </c>
      <c r="V26" s="211">
        <v>150</v>
      </c>
      <c r="W26" s="211">
        <f t="shared" si="0"/>
        <v>-129</v>
      </c>
      <c r="X26" s="211">
        <v>21</v>
      </c>
    </row>
    <row r="27" spans="3:24" ht="87" customHeight="1" thickBot="1" x14ac:dyDescent="0.35">
      <c r="C27" s="199">
        <v>16</v>
      </c>
      <c r="D27" s="216" t="s">
        <v>215</v>
      </c>
      <c r="E27" s="216" t="s">
        <v>216</v>
      </c>
      <c r="F27" s="216" t="s">
        <v>217</v>
      </c>
      <c r="G27" s="216">
        <v>1</v>
      </c>
      <c r="H27" s="217" t="s">
        <v>24</v>
      </c>
      <c r="I27" s="216" t="s">
        <v>161</v>
      </c>
      <c r="J27" s="218" t="s">
        <v>170</v>
      </c>
      <c r="K27" s="204" t="s">
        <v>171</v>
      </c>
      <c r="L27" s="204">
        <v>275977430</v>
      </c>
      <c r="M27" s="219">
        <v>46051</v>
      </c>
      <c r="N27" s="219">
        <v>46052</v>
      </c>
      <c r="O27" s="215" t="s">
        <v>139</v>
      </c>
      <c r="U27" s="211">
        <v>55</v>
      </c>
      <c r="V27" s="211">
        <v>209</v>
      </c>
      <c r="W27" s="211">
        <f t="shared" si="0"/>
        <v>-154</v>
      </c>
      <c r="X27" s="211">
        <v>55</v>
      </c>
    </row>
    <row r="28" spans="3:24" ht="87" customHeight="1" thickBot="1" x14ac:dyDescent="0.35">
      <c r="C28" s="199">
        <v>17</v>
      </c>
      <c r="D28" s="216" t="s">
        <v>218</v>
      </c>
      <c r="E28" s="216" t="s">
        <v>219</v>
      </c>
      <c r="F28" s="216" t="s">
        <v>220</v>
      </c>
      <c r="G28" s="216">
        <v>2</v>
      </c>
      <c r="H28" s="217" t="s">
        <v>24</v>
      </c>
      <c r="I28" s="216" t="s">
        <v>161</v>
      </c>
      <c r="J28" s="218" t="s">
        <v>170</v>
      </c>
      <c r="K28" s="204" t="s">
        <v>171</v>
      </c>
      <c r="L28" s="204">
        <v>275977593</v>
      </c>
      <c r="M28" s="219">
        <v>46051</v>
      </c>
      <c r="N28" s="219">
        <v>46053</v>
      </c>
      <c r="O28" s="215" t="s">
        <v>139</v>
      </c>
      <c r="U28" s="211">
        <v>185</v>
      </c>
      <c r="V28" s="211">
        <v>254</v>
      </c>
      <c r="W28" s="211">
        <f t="shared" si="0"/>
        <v>-69</v>
      </c>
      <c r="X28" s="211">
        <v>185</v>
      </c>
    </row>
    <row r="29" spans="3:24" ht="87" customHeight="1" thickBot="1" x14ac:dyDescent="0.35">
      <c r="C29" s="199">
        <v>18</v>
      </c>
      <c r="D29" s="216" t="s">
        <v>221</v>
      </c>
      <c r="E29" s="216" t="s">
        <v>222</v>
      </c>
      <c r="F29" s="216" t="s">
        <v>223</v>
      </c>
      <c r="G29" s="216">
        <v>1</v>
      </c>
      <c r="H29" s="217" t="s">
        <v>24</v>
      </c>
      <c r="I29" s="216" t="s">
        <v>161</v>
      </c>
      <c r="J29" s="218" t="s">
        <v>170</v>
      </c>
      <c r="K29" s="204" t="s">
        <v>171</v>
      </c>
      <c r="L29" s="204">
        <v>275977594</v>
      </c>
      <c r="M29" s="219">
        <v>46051</v>
      </c>
      <c r="N29" s="219">
        <v>46053</v>
      </c>
      <c r="O29" s="215" t="s">
        <v>139</v>
      </c>
      <c r="U29" s="211">
        <v>18</v>
      </c>
      <c r="V29" s="211">
        <v>267</v>
      </c>
      <c r="W29" s="211">
        <f t="shared" si="0"/>
        <v>-249</v>
      </c>
      <c r="X29" s="211">
        <v>18</v>
      </c>
    </row>
    <row r="30" spans="3:24" ht="87" customHeight="1" thickBot="1" x14ac:dyDescent="0.35">
      <c r="C30" s="199">
        <v>19</v>
      </c>
      <c r="D30" s="216" t="s">
        <v>224</v>
      </c>
      <c r="E30" s="216" t="s">
        <v>225</v>
      </c>
      <c r="F30" s="216" t="s">
        <v>226</v>
      </c>
      <c r="G30" s="216">
        <v>1</v>
      </c>
      <c r="H30" s="217" t="s">
        <v>24</v>
      </c>
      <c r="I30" s="216" t="s">
        <v>161</v>
      </c>
      <c r="J30" s="218" t="s">
        <v>170</v>
      </c>
      <c r="K30" s="204" t="s">
        <v>171</v>
      </c>
      <c r="L30" s="204">
        <v>275977596</v>
      </c>
      <c r="M30" s="219">
        <v>46051</v>
      </c>
      <c r="N30" s="219">
        <v>46055</v>
      </c>
      <c r="O30" s="215" t="s">
        <v>139</v>
      </c>
      <c r="U30" s="211">
        <v>31</v>
      </c>
      <c r="V30" s="211">
        <v>283</v>
      </c>
      <c r="W30" s="211">
        <f t="shared" si="0"/>
        <v>-252</v>
      </c>
      <c r="X30" s="211">
        <v>31</v>
      </c>
    </row>
    <row r="31" spans="3:24" ht="87" customHeight="1" thickBot="1" x14ac:dyDescent="0.35">
      <c r="C31" s="199">
        <v>20</v>
      </c>
      <c r="D31" s="216" t="s">
        <v>227</v>
      </c>
      <c r="E31" s="216" t="s">
        <v>228</v>
      </c>
      <c r="F31" s="216" t="s">
        <v>229</v>
      </c>
      <c r="G31" s="216">
        <v>1</v>
      </c>
      <c r="H31" s="217" t="s">
        <v>24</v>
      </c>
      <c r="I31" s="216" t="s">
        <v>161</v>
      </c>
      <c r="J31" s="218" t="s">
        <v>170</v>
      </c>
      <c r="K31" s="204" t="s">
        <v>171</v>
      </c>
      <c r="L31" s="204">
        <v>275977585</v>
      </c>
      <c r="M31" s="219">
        <v>46051</v>
      </c>
      <c r="N31" s="219">
        <v>46052</v>
      </c>
      <c r="O31" s="215" t="s">
        <v>139</v>
      </c>
      <c r="U31" s="211">
        <v>184</v>
      </c>
      <c r="V31" s="211">
        <v>222</v>
      </c>
      <c r="W31" s="211">
        <f t="shared" si="0"/>
        <v>-38</v>
      </c>
      <c r="X31" s="211">
        <v>184</v>
      </c>
    </row>
    <row r="32" spans="3:24" ht="87" customHeight="1" thickBot="1" x14ac:dyDescent="0.35">
      <c r="C32" s="199">
        <v>21</v>
      </c>
      <c r="D32" s="216" t="s">
        <v>230</v>
      </c>
      <c r="E32" s="216" t="s">
        <v>231</v>
      </c>
      <c r="F32" s="216" t="s">
        <v>232</v>
      </c>
      <c r="G32" s="216">
        <v>1</v>
      </c>
      <c r="H32" s="217" t="s">
        <v>24</v>
      </c>
      <c r="I32" s="216" t="s">
        <v>161</v>
      </c>
      <c r="J32" s="218" t="s">
        <v>170</v>
      </c>
      <c r="K32" s="204" t="s">
        <v>171</v>
      </c>
      <c r="L32" s="204">
        <v>275977600</v>
      </c>
      <c r="M32" s="219">
        <v>46051</v>
      </c>
      <c r="N32" s="219">
        <v>46052</v>
      </c>
      <c r="O32" s="215" t="s">
        <v>139</v>
      </c>
      <c r="U32" s="211">
        <v>28</v>
      </c>
      <c r="V32" s="211">
        <v>250</v>
      </c>
      <c r="W32" s="211">
        <f t="shared" si="0"/>
        <v>-222</v>
      </c>
      <c r="X32" s="211">
        <v>28</v>
      </c>
    </row>
    <row r="33" spans="3:26" ht="70.5" customHeight="1" thickBot="1" x14ac:dyDescent="0.65">
      <c r="C33" s="199">
        <v>22</v>
      </c>
      <c r="D33" s="216" t="s">
        <v>233</v>
      </c>
      <c r="E33" s="216" t="s">
        <v>234</v>
      </c>
      <c r="F33" s="216" t="s">
        <v>235</v>
      </c>
      <c r="G33" s="216">
        <v>1</v>
      </c>
      <c r="H33" s="217" t="s">
        <v>24</v>
      </c>
      <c r="I33" s="216" t="s">
        <v>161</v>
      </c>
      <c r="J33" s="218" t="s">
        <v>170</v>
      </c>
      <c r="K33" s="204" t="s">
        <v>171</v>
      </c>
      <c r="L33" s="204">
        <v>275977598</v>
      </c>
      <c r="M33" s="219">
        <v>46051</v>
      </c>
      <c r="N33" s="219">
        <v>46052</v>
      </c>
      <c r="O33" s="215" t="s">
        <v>139</v>
      </c>
      <c r="U33" s="211">
        <v>15</v>
      </c>
      <c r="V33" s="211">
        <v>264</v>
      </c>
      <c r="W33" s="211">
        <f t="shared" si="0"/>
        <v>-249</v>
      </c>
      <c r="X33" s="211">
        <v>15</v>
      </c>
      <c r="Y33" s="159"/>
      <c r="Z33" s="159"/>
    </row>
    <row r="34" spans="3:26" ht="76.95" customHeight="1" x14ac:dyDescent="0.3">
      <c r="C34" s="197"/>
      <c r="D34" s="143"/>
      <c r="E34" s="143"/>
      <c r="F34" s="143"/>
      <c r="G34" s="143"/>
      <c r="H34" s="143"/>
      <c r="I34" s="143"/>
      <c r="J34" s="143"/>
      <c r="K34" s="143"/>
      <c r="L34" s="143"/>
      <c r="M34" s="143"/>
      <c r="N34" s="143"/>
      <c r="O34" s="59"/>
      <c r="U34" s="158">
        <f>SUM(U12:U33)</f>
        <v>1418</v>
      </c>
      <c r="V34" s="158"/>
      <c r="W34" s="158"/>
      <c r="X34" s="158">
        <f>SUM(X12:X33)</f>
        <v>1418</v>
      </c>
    </row>
    <row r="35" spans="3:26" ht="82.95" customHeight="1" x14ac:dyDescent="1.1000000000000001">
      <c r="C35" s="60" t="s">
        <v>21</v>
      </c>
      <c r="D35" s="61"/>
      <c r="E35" s="1"/>
      <c r="F35" s="63" t="s">
        <v>22</v>
      </c>
      <c r="G35" s="1"/>
      <c r="H35" s="63"/>
      <c r="I35" s="127"/>
      <c r="J35" s="63"/>
      <c r="K35" s="63"/>
      <c r="L35" s="63"/>
      <c r="M35" s="128" t="s">
        <v>23</v>
      </c>
      <c r="N35" s="63"/>
      <c r="O35" s="129"/>
      <c r="P35" s="1"/>
      <c r="Q35" s="1"/>
      <c r="R35" s="127"/>
      <c r="S35" s="63" t="s">
        <v>127</v>
      </c>
      <c r="T35" s="63"/>
      <c r="U35" s="63"/>
      <c r="V35" s="127"/>
      <c r="X35" s="63"/>
      <c r="Y35" s="63"/>
    </row>
    <row r="36" spans="3:26" ht="71.25" customHeight="1" x14ac:dyDescent="1.1000000000000001">
      <c r="C36" s="60"/>
      <c r="D36" s="61"/>
      <c r="E36" s="1"/>
      <c r="F36" s="63" t="s">
        <v>15</v>
      </c>
      <c r="G36" s="1"/>
      <c r="H36" s="63"/>
      <c r="I36" s="127"/>
      <c r="J36" s="63"/>
      <c r="K36" s="63"/>
      <c r="L36" s="63"/>
      <c r="M36" s="128" t="s">
        <v>18</v>
      </c>
      <c r="N36" s="63"/>
      <c r="O36" s="130"/>
      <c r="P36" s="1"/>
      <c r="Q36" s="1"/>
      <c r="R36" s="1"/>
      <c r="S36" s="61"/>
      <c r="T36" s="63"/>
      <c r="U36" s="63"/>
      <c r="V36" s="63"/>
      <c r="X36" s="63"/>
      <c r="Y36" s="63"/>
    </row>
    <row r="37" spans="3:26" ht="61.2" x14ac:dyDescent="1.1000000000000001">
      <c r="C37" s="60" t="s">
        <v>61</v>
      </c>
      <c r="D37" s="61"/>
      <c r="E37" s="1"/>
      <c r="F37" s="61" t="s">
        <v>242</v>
      </c>
      <c r="G37" s="1"/>
      <c r="H37" s="127"/>
      <c r="I37" s="63"/>
      <c r="J37" s="63"/>
      <c r="K37" s="63"/>
      <c r="L37" s="63"/>
      <c r="M37" s="128" t="s">
        <v>16</v>
      </c>
      <c r="N37" s="63"/>
      <c r="O37" s="131"/>
      <c r="P37" s="1"/>
      <c r="Q37" s="1"/>
      <c r="R37" s="61"/>
      <c r="S37" s="61"/>
      <c r="T37" s="63"/>
      <c r="U37" s="63"/>
      <c r="V37" s="63"/>
      <c r="X37" s="63"/>
      <c r="Y37" s="63"/>
    </row>
    <row r="38" spans="3:26" ht="61.2" x14ac:dyDescent="1.1000000000000001">
      <c r="C38" s="60" t="s">
        <v>19</v>
      </c>
      <c r="D38" s="61"/>
      <c r="E38" s="1"/>
      <c r="F38" s="63" t="s">
        <v>17</v>
      </c>
      <c r="G38" s="1"/>
      <c r="H38" s="63"/>
      <c r="I38" s="127"/>
      <c r="J38" s="63"/>
      <c r="K38" s="63"/>
      <c r="L38" s="63"/>
      <c r="M38" s="128" t="s">
        <v>20</v>
      </c>
      <c r="N38" s="63"/>
      <c r="O38" s="131"/>
      <c r="P38" s="1"/>
      <c r="Q38" s="1"/>
      <c r="R38" s="61"/>
      <c r="S38" s="61"/>
      <c r="T38" s="63"/>
      <c r="U38" s="63"/>
      <c r="V38" s="63"/>
      <c r="X38" s="63"/>
      <c r="Y38" s="63"/>
    </row>
    <row r="39" spans="3:26" ht="61.2" x14ac:dyDescent="1.1000000000000001">
      <c r="C39" s="60"/>
      <c r="D39" s="61"/>
      <c r="E39" s="61"/>
      <c r="F39" s="61"/>
      <c r="G39" s="63"/>
      <c r="H39" s="63"/>
      <c r="I39" s="63"/>
      <c r="J39" s="63"/>
      <c r="K39" s="63"/>
      <c r="L39" s="63"/>
      <c r="M39" s="63"/>
      <c r="N39" s="63"/>
      <c r="O39" s="132"/>
      <c r="P39" s="63"/>
      <c r="Q39" s="63"/>
      <c r="R39" s="63"/>
      <c r="S39" s="63"/>
      <c r="T39" s="63"/>
      <c r="U39" s="63"/>
      <c r="V39" s="63"/>
      <c r="W39" s="63"/>
      <c r="X39" s="63"/>
      <c r="Y39" s="63"/>
    </row>
    <row r="40" spans="3:26" ht="59.4" x14ac:dyDescent="0.9">
      <c r="C40" s="67"/>
      <c r="D40" s="68"/>
      <c r="E40" s="68"/>
      <c r="F40" s="68"/>
      <c r="G40" s="62"/>
      <c r="H40" s="69"/>
      <c r="I40" s="69"/>
      <c r="J40" s="68"/>
      <c r="K40" s="69"/>
      <c r="L40" s="69"/>
      <c r="M40" s="69"/>
      <c r="N40" s="68"/>
      <c r="O40" s="70"/>
    </row>
    <row r="41" spans="3:26" ht="60" thickBot="1" x14ac:dyDescent="0.35">
      <c r="C41" s="71"/>
      <c r="D41" s="72"/>
      <c r="E41" s="72"/>
      <c r="F41" s="72"/>
      <c r="G41" s="72"/>
      <c r="H41" s="72"/>
      <c r="I41" s="72"/>
      <c r="J41" s="72"/>
      <c r="K41" s="72"/>
      <c r="L41" s="72"/>
      <c r="M41" s="72"/>
      <c r="N41" s="72"/>
      <c r="O41" s="73"/>
    </row>
  </sheetData>
  <autoFilter ref="C11:O11"/>
  <mergeCells count="2">
    <mergeCell ref="C5:O5"/>
    <mergeCell ref="C6:O9"/>
  </mergeCells>
  <conditionalFormatting sqref="D12:D33">
    <cfRule type="duplicateValues" dxfId="0" priority="2"/>
  </conditionalFormatting>
  <pageMargins left="0.3" right="0.35" top="0.49803040199999998" bottom="0.49803040199999998" header="0.31496062992126" footer="0.31496062992126"/>
  <pageSetup paperSize="9" scale="20"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32"/>
  <sheetViews>
    <sheetView topLeftCell="A7" zoomScale="27" zoomScaleNormal="27" workbookViewId="0">
      <selection activeCell="D11" sqref="D11:Y11"/>
    </sheetView>
  </sheetViews>
  <sheetFormatPr defaultColWidth="9.33203125" defaultRowHeight="58.5" customHeight="1" x14ac:dyDescent="0.3"/>
  <cols>
    <col min="1" max="1" width="40.6640625" style="2" customWidth="1"/>
    <col min="2" max="2" width="155.88671875" style="3" customWidth="1"/>
    <col min="3" max="3" width="31.33203125" style="3" customWidth="1"/>
    <col min="4" max="25" width="17.109375" style="84" customWidth="1"/>
    <col min="26" max="26" width="18.6640625" style="84" customWidth="1"/>
    <col min="27" max="27" width="30.109375" style="2" customWidth="1"/>
    <col min="28" max="28" width="37.44140625" style="2" customWidth="1"/>
    <col min="29" max="29" width="42" style="2" customWidth="1"/>
    <col min="30" max="16384" width="9.33203125" style="2"/>
  </cols>
  <sheetData>
    <row r="1" spans="1:29" ht="19.8" x14ac:dyDescent="0.3">
      <c r="A1" s="117"/>
      <c r="B1" s="118"/>
      <c r="C1" s="118"/>
      <c r="D1" s="119"/>
      <c r="E1" s="119"/>
      <c r="F1" s="119"/>
      <c r="G1" s="119"/>
      <c r="H1" s="119"/>
      <c r="I1" s="119"/>
      <c r="J1" s="119"/>
      <c r="K1" s="119"/>
      <c r="L1" s="119"/>
      <c r="M1" s="119"/>
      <c r="N1" s="119"/>
      <c r="O1" s="119"/>
      <c r="P1" s="119"/>
      <c r="Q1" s="119"/>
      <c r="R1" s="119"/>
      <c r="S1" s="119"/>
      <c r="T1" s="119"/>
      <c r="U1" s="119"/>
      <c r="V1" s="119"/>
      <c r="W1" s="119"/>
      <c r="X1" s="119"/>
      <c r="Y1" s="119"/>
      <c r="Z1" s="119"/>
      <c r="AA1" s="120"/>
      <c r="AB1" s="120"/>
      <c r="AC1" s="121"/>
    </row>
    <row r="2" spans="1:29" ht="20.399999999999999" thickBot="1" x14ac:dyDescent="0.35">
      <c r="A2" s="122"/>
      <c r="B2" s="123"/>
      <c r="C2" s="123"/>
      <c r="D2" s="124"/>
      <c r="E2" s="124"/>
      <c r="F2" s="124"/>
      <c r="G2" s="124"/>
      <c r="H2" s="124"/>
      <c r="I2" s="124"/>
      <c r="J2" s="124"/>
      <c r="K2" s="124"/>
      <c r="L2" s="124"/>
      <c r="M2" s="124"/>
      <c r="N2" s="124"/>
      <c r="O2" s="124"/>
      <c r="P2" s="124"/>
      <c r="Q2" s="124"/>
      <c r="R2" s="124"/>
      <c r="S2" s="124"/>
      <c r="T2" s="124"/>
      <c r="U2" s="124"/>
      <c r="V2" s="124"/>
      <c r="W2" s="124"/>
      <c r="X2" s="124"/>
      <c r="Y2" s="124"/>
      <c r="Z2" s="124"/>
      <c r="AA2" s="125"/>
      <c r="AB2" s="125"/>
      <c r="AC2" s="126"/>
    </row>
    <row r="3" spans="1:29" s="6" customFormat="1" ht="93" customHeight="1" thickBot="1" x14ac:dyDescent="0.45">
      <c r="A3" s="267" t="s">
        <v>102</v>
      </c>
      <c r="B3" s="268"/>
      <c r="C3" s="268"/>
      <c r="D3" s="268"/>
      <c r="E3" s="268"/>
      <c r="F3" s="268"/>
      <c r="G3" s="268"/>
      <c r="H3" s="268"/>
      <c r="I3" s="268"/>
      <c r="J3" s="268"/>
      <c r="K3" s="268"/>
      <c r="L3" s="268"/>
      <c r="M3" s="268"/>
      <c r="N3" s="268"/>
      <c r="O3" s="268"/>
      <c r="P3" s="268"/>
      <c r="Q3" s="268"/>
      <c r="R3" s="268"/>
      <c r="S3" s="268"/>
      <c r="T3" s="268"/>
      <c r="U3" s="268"/>
      <c r="V3" s="268"/>
      <c r="W3" s="268"/>
      <c r="X3" s="268"/>
      <c r="Y3" s="268"/>
      <c r="Z3" s="268"/>
      <c r="AA3" s="268"/>
      <c r="AB3" s="268"/>
      <c r="AC3" s="269"/>
    </row>
    <row r="4" spans="1:29" ht="58.5" customHeight="1" x14ac:dyDescent="0.55000000000000004">
      <c r="A4" s="45"/>
      <c r="B4" s="46"/>
      <c r="C4" s="46"/>
      <c r="D4" s="78"/>
      <c r="E4" s="78"/>
      <c r="F4" s="78"/>
      <c r="G4" s="78"/>
      <c r="H4" s="270" t="s">
        <v>158</v>
      </c>
      <c r="I4" s="270"/>
      <c r="J4" s="270"/>
      <c r="K4" s="270"/>
      <c r="L4" s="270"/>
      <c r="M4" s="270"/>
      <c r="N4" s="270"/>
      <c r="O4" s="270"/>
      <c r="P4" s="270"/>
      <c r="Q4" s="270"/>
      <c r="R4" s="270"/>
      <c r="S4" s="270"/>
      <c r="T4" s="270"/>
      <c r="U4" s="270"/>
      <c r="V4" s="270"/>
      <c r="W4" s="270"/>
      <c r="X4" s="270"/>
      <c r="Y4" s="203"/>
      <c r="Z4" s="133"/>
      <c r="AC4" s="59"/>
    </row>
    <row r="5" spans="1:29" ht="46.2" x14ac:dyDescent="0.3">
      <c r="A5" s="65" t="s">
        <v>141</v>
      </c>
      <c r="B5" s="44"/>
      <c r="C5" s="44"/>
      <c r="D5" s="79"/>
      <c r="E5" s="79"/>
      <c r="F5" s="79"/>
      <c r="G5" s="79"/>
      <c r="H5" s="271" t="s">
        <v>163</v>
      </c>
      <c r="I5" s="271"/>
      <c r="J5" s="271"/>
      <c r="K5" s="271"/>
      <c r="L5" s="271"/>
      <c r="M5" s="271"/>
      <c r="N5" s="271"/>
      <c r="O5" s="271"/>
      <c r="P5" s="271"/>
      <c r="Q5" s="271"/>
      <c r="R5" s="271"/>
      <c r="S5" s="271"/>
      <c r="T5" s="271"/>
      <c r="U5" s="271"/>
      <c r="V5" s="271"/>
      <c r="W5" s="271"/>
      <c r="X5" s="271"/>
      <c r="Y5" s="200"/>
      <c r="Z5" s="79"/>
      <c r="AC5" s="59"/>
    </row>
    <row r="6" spans="1:29" ht="46.2" x14ac:dyDescent="0.3">
      <c r="A6" s="65" t="s">
        <v>105</v>
      </c>
      <c r="B6" s="44"/>
      <c r="C6" s="44"/>
      <c r="D6" s="79"/>
      <c r="E6" s="79"/>
      <c r="F6" s="79"/>
      <c r="G6" s="79"/>
      <c r="H6" s="271"/>
      <c r="I6" s="271"/>
      <c r="J6" s="271"/>
      <c r="K6" s="271"/>
      <c r="L6" s="271"/>
      <c r="M6" s="271"/>
      <c r="N6" s="271"/>
      <c r="O6" s="271"/>
      <c r="P6" s="271"/>
      <c r="Q6" s="271"/>
      <c r="R6" s="271"/>
      <c r="S6" s="271"/>
      <c r="T6" s="271"/>
      <c r="U6" s="271"/>
      <c r="V6" s="271"/>
      <c r="W6" s="271"/>
      <c r="X6" s="271"/>
      <c r="Y6" s="200"/>
      <c r="Z6" s="79"/>
      <c r="AC6" s="59"/>
    </row>
    <row r="7" spans="1:29" ht="46.2" x14ac:dyDescent="0.85">
      <c r="A7" s="66"/>
      <c r="B7" s="49"/>
      <c r="C7" s="49"/>
      <c r="D7" s="80"/>
      <c r="E7" s="80"/>
      <c r="F7" s="80"/>
      <c r="G7" s="80"/>
      <c r="H7" s="80"/>
      <c r="I7" s="80"/>
      <c r="J7" s="116"/>
      <c r="K7" s="116" t="s">
        <v>240</v>
      </c>
      <c r="L7" s="116"/>
      <c r="M7" s="116"/>
      <c r="N7" s="116"/>
      <c r="O7" s="116"/>
      <c r="P7" s="116"/>
      <c r="Q7" s="116"/>
      <c r="R7" s="116"/>
      <c r="S7" s="116"/>
      <c r="T7" s="116"/>
      <c r="U7" s="116"/>
      <c r="V7" s="116"/>
      <c r="W7" s="116"/>
      <c r="X7" s="116"/>
      <c r="Y7" s="116"/>
      <c r="Z7" s="80"/>
      <c r="AC7" s="59"/>
    </row>
    <row r="8" spans="1:29" ht="46.5" customHeight="1" x14ac:dyDescent="0.55000000000000004">
      <c r="A8" s="50"/>
      <c r="B8" s="47"/>
      <c r="C8" s="47"/>
      <c r="D8" s="80"/>
      <c r="E8" s="80"/>
      <c r="F8" s="80"/>
      <c r="G8" s="80"/>
      <c r="H8" s="80"/>
      <c r="I8" s="80"/>
      <c r="J8" s="116"/>
      <c r="K8" s="116" t="s">
        <v>241</v>
      </c>
      <c r="L8" s="116"/>
      <c r="M8" s="116"/>
      <c r="N8" s="116"/>
      <c r="O8" s="116"/>
      <c r="P8" s="116"/>
      <c r="Q8" s="116"/>
      <c r="R8" s="116"/>
      <c r="S8" s="116"/>
      <c r="T8" s="116"/>
      <c r="U8" s="116"/>
      <c r="V8" s="116"/>
      <c r="W8" s="116"/>
      <c r="X8" s="116"/>
      <c r="Y8" s="116"/>
      <c r="Z8" s="80"/>
      <c r="AC8" s="59"/>
    </row>
    <row r="9" spans="1:29" ht="28.5" customHeight="1" x14ac:dyDescent="0.55000000000000004">
      <c r="A9" s="50"/>
      <c r="B9" s="47"/>
      <c r="C9" s="47"/>
      <c r="D9" s="80"/>
      <c r="E9" s="80"/>
      <c r="F9" s="80"/>
      <c r="G9" s="80"/>
      <c r="H9" s="80"/>
      <c r="I9" s="80"/>
      <c r="J9" s="80"/>
      <c r="K9" s="80"/>
      <c r="L9" s="80"/>
      <c r="M9" s="80"/>
      <c r="N9" s="80"/>
      <c r="O9" s="80"/>
      <c r="P9" s="80"/>
      <c r="Q9" s="80"/>
      <c r="R9" s="80"/>
      <c r="S9" s="80"/>
      <c r="T9" s="80"/>
      <c r="U9" s="80"/>
      <c r="V9" s="80"/>
      <c r="W9" s="80"/>
      <c r="X9" s="80"/>
      <c r="Y9" s="80"/>
      <c r="Z9" s="80"/>
      <c r="AA9" s="47"/>
      <c r="AB9" s="47"/>
      <c r="AC9" s="48"/>
    </row>
    <row r="10" spans="1:29" ht="21.75" customHeight="1" thickBot="1" x14ac:dyDescent="0.45">
      <c r="A10" s="76"/>
      <c r="B10" s="41"/>
      <c r="C10" s="41"/>
      <c r="D10" s="81"/>
      <c r="E10" s="81"/>
      <c r="F10" s="81"/>
      <c r="G10" s="81"/>
      <c r="H10" s="81"/>
      <c r="I10" s="81"/>
      <c r="J10" s="81"/>
      <c r="K10" s="81"/>
      <c r="L10" s="81"/>
      <c r="M10" s="81"/>
      <c r="N10" s="81"/>
      <c r="O10" s="81"/>
      <c r="P10" s="81"/>
      <c r="Q10" s="81"/>
      <c r="R10" s="81"/>
      <c r="S10" s="81"/>
      <c r="T10" s="81"/>
      <c r="U10" s="81"/>
      <c r="V10" s="81"/>
      <c r="W10" s="81"/>
      <c r="X10" s="81"/>
      <c r="Y10" s="81"/>
      <c r="Z10" s="81"/>
      <c r="AA10" s="77"/>
      <c r="AB10" s="39"/>
      <c r="AC10" s="40"/>
    </row>
    <row r="11" spans="1:29" s="4" customFormat="1" ht="66" customHeight="1" thickBot="1" x14ac:dyDescent="1.1499999999999999">
      <c r="A11" s="160"/>
      <c r="B11" s="161" t="s">
        <v>0</v>
      </c>
      <c r="C11" s="161"/>
      <c r="D11" s="162">
        <v>1</v>
      </c>
      <c r="E11" s="196">
        <v>2</v>
      </c>
      <c r="F11" s="196">
        <v>3</v>
      </c>
      <c r="G11" s="214">
        <v>4</v>
      </c>
      <c r="H11" s="233">
        <v>5</v>
      </c>
      <c r="I11" s="233">
        <v>6</v>
      </c>
      <c r="J11" s="233">
        <v>7</v>
      </c>
      <c r="K11" s="233">
        <v>8</v>
      </c>
      <c r="L11" s="233">
        <v>9</v>
      </c>
      <c r="M11" s="233">
        <v>10</v>
      </c>
      <c r="N11" s="233">
        <v>11</v>
      </c>
      <c r="O11" s="233">
        <v>12</v>
      </c>
      <c r="P11" s="233">
        <v>13</v>
      </c>
      <c r="Q11" s="233">
        <v>14</v>
      </c>
      <c r="R11" s="233">
        <v>15</v>
      </c>
      <c r="S11" s="233">
        <v>16</v>
      </c>
      <c r="T11" s="233">
        <v>17</v>
      </c>
      <c r="U11" s="233">
        <v>18</v>
      </c>
      <c r="V11" s="233">
        <v>19</v>
      </c>
      <c r="W11" s="233">
        <v>20</v>
      </c>
      <c r="X11" s="233">
        <v>21</v>
      </c>
      <c r="Y11" s="233">
        <v>22</v>
      </c>
      <c r="Z11" s="162"/>
      <c r="AA11" s="163"/>
      <c r="AB11" s="164"/>
      <c r="AC11" s="164"/>
    </row>
    <row r="12" spans="1:29" ht="409.6" customHeight="1" thickBot="1" x14ac:dyDescent="0.35">
      <c r="A12" s="165" t="s">
        <v>5</v>
      </c>
      <c r="B12" s="165" t="s">
        <v>1</v>
      </c>
      <c r="C12" s="165"/>
      <c r="D12" s="221" t="s">
        <v>167</v>
      </c>
      <c r="E12" s="221" t="s">
        <v>173</v>
      </c>
      <c r="F12" s="221" t="s">
        <v>176</v>
      </c>
      <c r="G12" s="221" t="s">
        <v>179</v>
      </c>
      <c r="H12" s="221" t="s">
        <v>182</v>
      </c>
      <c r="I12" s="221" t="s">
        <v>185</v>
      </c>
      <c r="J12" s="221" t="s">
        <v>189</v>
      </c>
      <c r="K12" s="221" t="s">
        <v>192</v>
      </c>
      <c r="L12" s="221" t="s">
        <v>195</v>
      </c>
      <c r="M12" s="221" t="s">
        <v>198</v>
      </c>
      <c r="N12" s="221" t="s">
        <v>201</v>
      </c>
      <c r="O12" s="221" t="s">
        <v>204</v>
      </c>
      <c r="P12" s="221" t="s">
        <v>207</v>
      </c>
      <c r="Q12" s="221" t="s">
        <v>210</v>
      </c>
      <c r="R12" s="221" t="s">
        <v>213</v>
      </c>
      <c r="S12" s="221" t="s">
        <v>216</v>
      </c>
      <c r="T12" s="221" t="s">
        <v>219</v>
      </c>
      <c r="U12" s="221" t="s">
        <v>222</v>
      </c>
      <c r="V12" s="221" t="s">
        <v>225</v>
      </c>
      <c r="W12" s="221" t="s">
        <v>228</v>
      </c>
      <c r="X12" s="221" t="s">
        <v>231</v>
      </c>
      <c r="Y12" s="221" t="s">
        <v>234</v>
      </c>
      <c r="Z12" s="166"/>
      <c r="AA12" s="167" t="s">
        <v>4</v>
      </c>
      <c r="AB12" s="168" t="s">
        <v>12</v>
      </c>
      <c r="AC12" s="169" t="s">
        <v>13</v>
      </c>
    </row>
    <row r="13" spans="1:29" ht="109.2" customHeight="1" thickBot="1" x14ac:dyDescent="0.35">
      <c r="A13" s="162"/>
      <c r="B13" s="266" t="s">
        <v>2</v>
      </c>
      <c r="C13" s="266"/>
      <c r="D13" s="206" t="s">
        <v>24</v>
      </c>
      <c r="E13" s="206" t="s">
        <v>24</v>
      </c>
      <c r="F13" s="206" t="s">
        <v>24</v>
      </c>
      <c r="G13" s="206" t="s">
        <v>24</v>
      </c>
      <c r="H13" s="206" t="s">
        <v>24</v>
      </c>
      <c r="I13" s="206" t="s">
        <v>24</v>
      </c>
      <c r="J13" s="206" t="s">
        <v>24</v>
      </c>
      <c r="K13" s="206" t="s">
        <v>24</v>
      </c>
      <c r="L13" s="206" t="s">
        <v>24</v>
      </c>
      <c r="M13" s="206" t="s">
        <v>24</v>
      </c>
      <c r="N13" s="206" t="s">
        <v>24</v>
      </c>
      <c r="O13" s="206" t="s">
        <v>24</v>
      </c>
      <c r="P13" s="206" t="s">
        <v>24</v>
      </c>
      <c r="Q13" s="206" t="s">
        <v>24</v>
      </c>
      <c r="R13" s="206" t="s">
        <v>24</v>
      </c>
      <c r="S13" s="206" t="s">
        <v>24</v>
      </c>
      <c r="T13" s="206" t="s">
        <v>24</v>
      </c>
      <c r="U13" s="206" t="s">
        <v>24</v>
      </c>
      <c r="V13" s="206" t="s">
        <v>24</v>
      </c>
      <c r="W13" s="206" t="s">
        <v>24</v>
      </c>
      <c r="X13" s="206" t="s">
        <v>24</v>
      </c>
      <c r="Y13" s="206" t="s">
        <v>24</v>
      </c>
      <c r="Z13" s="170"/>
      <c r="AA13" s="171"/>
      <c r="AB13" s="172"/>
      <c r="AC13" s="173"/>
    </row>
    <row r="14" spans="1:29" ht="96.6" customHeight="1" thickBot="1" x14ac:dyDescent="0.35">
      <c r="A14" s="162"/>
      <c r="B14" s="266" t="s">
        <v>3</v>
      </c>
      <c r="C14" s="266"/>
      <c r="D14" s="216">
        <v>1</v>
      </c>
      <c r="E14" s="216">
        <v>1</v>
      </c>
      <c r="F14" s="216">
        <v>1</v>
      </c>
      <c r="G14" s="216">
        <v>1</v>
      </c>
      <c r="H14" s="216">
        <v>1</v>
      </c>
      <c r="I14" s="216">
        <v>1</v>
      </c>
      <c r="J14" s="216">
        <v>1</v>
      </c>
      <c r="K14" s="216">
        <v>1</v>
      </c>
      <c r="L14" s="216">
        <v>2</v>
      </c>
      <c r="M14" s="216">
        <v>3</v>
      </c>
      <c r="N14" s="216">
        <v>1</v>
      </c>
      <c r="O14" s="216">
        <v>1</v>
      </c>
      <c r="P14" s="216">
        <v>1</v>
      </c>
      <c r="Q14" s="216">
        <v>1</v>
      </c>
      <c r="R14" s="216">
        <v>1</v>
      </c>
      <c r="S14" s="216">
        <v>1</v>
      </c>
      <c r="T14" s="216">
        <v>2</v>
      </c>
      <c r="U14" s="216">
        <v>1</v>
      </c>
      <c r="V14" s="216">
        <v>1</v>
      </c>
      <c r="W14" s="216">
        <v>1</v>
      </c>
      <c r="X14" s="216">
        <v>1</v>
      </c>
      <c r="Y14" s="216">
        <v>1</v>
      </c>
      <c r="Z14" s="172"/>
      <c r="AA14" s="171">
        <f>SUM(D14:Y14)</f>
        <v>26</v>
      </c>
      <c r="AB14" s="172"/>
      <c r="AC14" s="162"/>
    </row>
    <row r="15" spans="1:29" ht="104.25" customHeight="1" thickBot="1" x14ac:dyDescent="1">
      <c r="A15" s="175" t="s">
        <v>112</v>
      </c>
      <c r="B15" s="176" t="s">
        <v>62</v>
      </c>
      <c r="C15" s="177" t="s">
        <v>63</v>
      </c>
      <c r="D15" s="178"/>
      <c r="E15" s="178"/>
      <c r="F15" s="178"/>
      <c r="G15" s="178"/>
      <c r="H15" s="178"/>
      <c r="I15" s="178"/>
      <c r="J15" s="178"/>
      <c r="K15" s="178"/>
      <c r="L15" s="178"/>
      <c r="M15" s="178"/>
      <c r="N15" s="178"/>
      <c r="O15" s="178"/>
      <c r="P15" s="178"/>
      <c r="Q15" s="178"/>
      <c r="R15" s="178"/>
      <c r="S15" s="178"/>
      <c r="T15" s="178"/>
      <c r="U15" s="178"/>
      <c r="V15" s="178"/>
      <c r="W15" s="178"/>
      <c r="X15" s="178"/>
      <c r="Y15" s="178"/>
      <c r="Z15" s="179"/>
      <c r="AA15" s="180"/>
      <c r="AB15" s="180"/>
      <c r="AC15" s="181"/>
    </row>
    <row r="16" spans="1:29" ht="85.95" customHeight="1" thickBot="1" x14ac:dyDescent="0.35">
      <c r="A16" s="183">
        <v>3367489</v>
      </c>
      <c r="B16" s="182" t="s">
        <v>110</v>
      </c>
      <c r="C16" s="183" t="s">
        <v>64</v>
      </c>
      <c r="D16" s="222">
        <v>1</v>
      </c>
      <c r="E16" s="222">
        <v>1</v>
      </c>
      <c r="F16" s="222">
        <v>1</v>
      </c>
      <c r="G16" s="222">
        <v>1</v>
      </c>
      <c r="H16" s="222">
        <v>1</v>
      </c>
      <c r="I16" s="222">
        <v>1</v>
      </c>
      <c r="J16" s="222">
        <v>1</v>
      </c>
      <c r="K16" s="222">
        <v>1</v>
      </c>
      <c r="L16" s="222">
        <v>2</v>
      </c>
      <c r="M16" s="222">
        <v>3</v>
      </c>
      <c r="N16" s="222">
        <v>1</v>
      </c>
      <c r="O16" s="222">
        <v>1</v>
      </c>
      <c r="P16" s="222">
        <v>1</v>
      </c>
      <c r="Q16" s="222">
        <v>1</v>
      </c>
      <c r="R16" s="222">
        <v>1</v>
      </c>
      <c r="S16" s="222">
        <v>1</v>
      </c>
      <c r="T16" s="222">
        <v>2</v>
      </c>
      <c r="U16" s="222">
        <v>1</v>
      </c>
      <c r="V16" s="222">
        <v>1</v>
      </c>
      <c r="W16" s="222">
        <v>1</v>
      </c>
      <c r="X16" s="222">
        <v>1</v>
      </c>
      <c r="Y16" s="222">
        <v>1</v>
      </c>
      <c r="Z16" s="184"/>
      <c r="AA16" s="171">
        <f>SUM(D16:Y16)</f>
        <v>26</v>
      </c>
      <c r="AB16" s="171">
        <v>200</v>
      </c>
      <c r="AC16" s="185">
        <f>AA16*AB16</f>
        <v>5200</v>
      </c>
    </row>
    <row r="17" spans="1:39" ht="79.2" customHeight="1" thickBot="1" x14ac:dyDescent="0.35">
      <c r="A17" s="183">
        <v>3367548</v>
      </c>
      <c r="B17" s="182" t="s">
        <v>129</v>
      </c>
      <c r="C17" s="183" t="s">
        <v>109</v>
      </c>
      <c r="D17" s="223">
        <v>5</v>
      </c>
      <c r="E17" s="223">
        <v>5</v>
      </c>
      <c r="F17" s="223">
        <v>5</v>
      </c>
      <c r="G17" s="223">
        <v>5</v>
      </c>
      <c r="H17" s="223">
        <v>5</v>
      </c>
      <c r="I17" s="223">
        <v>5</v>
      </c>
      <c r="J17" s="222">
        <v>50</v>
      </c>
      <c r="K17" s="223">
        <v>5</v>
      </c>
      <c r="L17" s="223">
        <v>10</v>
      </c>
      <c r="M17" s="223">
        <v>60</v>
      </c>
      <c r="N17" s="223">
        <v>5</v>
      </c>
      <c r="O17" s="223">
        <v>50</v>
      </c>
      <c r="P17" s="223">
        <v>5</v>
      </c>
      <c r="Q17" s="222">
        <v>5</v>
      </c>
      <c r="R17" s="223">
        <v>5</v>
      </c>
      <c r="S17" s="223">
        <v>5</v>
      </c>
      <c r="T17" s="223">
        <v>100</v>
      </c>
      <c r="U17" s="223">
        <v>5</v>
      </c>
      <c r="V17" s="223">
        <v>50</v>
      </c>
      <c r="W17" s="223">
        <v>5</v>
      </c>
      <c r="X17" s="223">
        <v>50</v>
      </c>
      <c r="Y17" s="223">
        <v>50</v>
      </c>
      <c r="Z17" s="184"/>
      <c r="AA17" s="171">
        <f>SUM(D17:Y17)</f>
        <v>490</v>
      </c>
      <c r="AB17" s="171">
        <v>5</v>
      </c>
      <c r="AC17" s="185">
        <f t="shared" ref="AC17:AC25" si="0">AA17*AB17</f>
        <v>2450</v>
      </c>
    </row>
    <row r="18" spans="1:39" ht="85.95" customHeight="1" thickBot="1" x14ac:dyDescent="0.35">
      <c r="A18" s="183">
        <v>3137158</v>
      </c>
      <c r="B18" s="182" t="s">
        <v>130</v>
      </c>
      <c r="C18" s="183" t="s">
        <v>109</v>
      </c>
      <c r="D18" s="223">
        <v>50</v>
      </c>
      <c r="E18" s="223">
        <v>50</v>
      </c>
      <c r="F18" s="223">
        <v>50</v>
      </c>
      <c r="G18" s="223">
        <v>50</v>
      </c>
      <c r="H18" s="223">
        <v>50</v>
      </c>
      <c r="I18" s="223">
        <v>50</v>
      </c>
      <c r="J18" s="222">
        <v>50</v>
      </c>
      <c r="K18" s="223">
        <v>50</v>
      </c>
      <c r="L18" s="223">
        <v>100</v>
      </c>
      <c r="M18" s="223">
        <v>150</v>
      </c>
      <c r="N18" s="223">
        <v>50</v>
      </c>
      <c r="O18" s="223">
        <v>50</v>
      </c>
      <c r="P18" s="223">
        <v>50</v>
      </c>
      <c r="Q18" s="222">
        <v>50</v>
      </c>
      <c r="R18" s="223">
        <v>50</v>
      </c>
      <c r="S18" s="223">
        <v>50</v>
      </c>
      <c r="T18" s="223">
        <v>100</v>
      </c>
      <c r="U18" s="223">
        <v>50</v>
      </c>
      <c r="V18" s="223">
        <v>50</v>
      </c>
      <c r="W18" s="223">
        <v>50</v>
      </c>
      <c r="X18" s="223">
        <v>50</v>
      </c>
      <c r="Y18" s="223">
        <v>50</v>
      </c>
      <c r="Z18" s="184"/>
      <c r="AA18" s="171">
        <f>SUM(D18:Y18)</f>
        <v>1300</v>
      </c>
      <c r="AB18" s="171">
        <v>12</v>
      </c>
      <c r="AC18" s="185">
        <f t="shared" si="0"/>
        <v>15600</v>
      </c>
    </row>
    <row r="19" spans="1:39" s="90" customFormat="1" ht="118.95" customHeight="1" thickBot="1" x14ac:dyDescent="0.35">
      <c r="A19" s="183">
        <v>3397253</v>
      </c>
      <c r="B19" s="182" t="s">
        <v>106</v>
      </c>
      <c r="C19" s="183" t="s">
        <v>99</v>
      </c>
      <c r="D19" s="224">
        <v>14</v>
      </c>
      <c r="E19" s="224">
        <v>126</v>
      </c>
      <c r="F19" s="224">
        <v>35</v>
      </c>
      <c r="G19" s="224">
        <v>5</v>
      </c>
      <c r="H19" s="224">
        <v>62</v>
      </c>
      <c r="I19" s="224">
        <v>167</v>
      </c>
      <c r="J19" s="174">
        <v>30</v>
      </c>
      <c r="K19" s="224">
        <v>114</v>
      </c>
      <c r="L19" s="224">
        <v>8</v>
      </c>
      <c r="M19" s="224">
        <v>40</v>
      </c>
      <c r="N19" s="224">
        <v>168</v>
      </c>
      <c r="O19" s="224">
        <v>21</v>
      </c>
      <c r="P19" s="224">
        <v>20</v>
      </c>
      <c r="Q19" s="224">
        <v>71</v>
      </c>
      <c r="R19" s="224">
        <v>21</v>
      </c>
      <c r="S19" s="224">
        <v>55</v>
      </c>
      <c r="T19" s="224">
        <v>185</v>
      </c>
      <c r="U19" s="224">
        <v>18</v>
      </c>
      <c r="V19" s="224">
        <v>31</v>
      </c>
      <c r="W19" s="224">
        <v>184</v>
      </c>
      <c r="X19" s="224">
        <v>28</v>
      </c>
      <c r="Y19" s="224">
        <v>15</v>
      </c>
      <c r="Z19" s="184"/>
      <c r="AA19" s="171">
        <f>SUM(D19:Y19)</f>
        <v>1418</v>
      </c>
      <c r="AB19" s="171">
        <v>20</v>
      </c>
      <c r="AC19" s="185">
        <f t="shared" si="0"/>
        <v>28360</v>
      </c>
      <c r="AM19" s="2"/>
    </row>
    <row r="20" spans="1:39" ht="61.2" customHeight="1" thickBot="1" x14ac:dyDescent="0.35">
      <c r="A20" s="183">
        <v>3397271</v>
      </c>
      <c r="B20" s="182" t="s">
        <v>128</v>
      </c>
      <c r="C20" s="183" t="s">
        <v>64</v>
      </c>
      <c r="D20" s="174">
        <v>1</v>
      </c>
      <c r="E20" s="174">
        <v>1</v>
      </c>
      <c r="F20" s="174">
        <v>1</v>
      </c>
      <c r="G20" s="174">
        <v>1</v>
      </c>
      <c r="H20" s="174">
        <v>1</v>
      </c>
      <c r="I20" s="174">
        <v>1</v>
      </c>
      <c r="J20" s="174">
        <v>1</v>
      </c>
      <c r="K20" s="174">
        <v>1</v>
      </c>
      <c r="L20" s="174">
        <v>1</v>
      </c>
      <c r="M20" s="174">
        <v>1</v>
      </c>
      <c r="N20" s="174">
        <v>1</v>
      </c>
      <c r="O20" s="174">
        <v>1</v>
      </c>
      <c r="P20" s="174">
        <v>1</v>
      </c>
      <c r="Q20" s="174">
        <v>1</v>
      </c>
      <c r="R20" s="174">
        <v>1</v>
      </c>
      <c r="S20" s="174">
        <v>1</v>
      </c>
      <c r="T20" s="174">
        <v>1</v>
      </c>
      <c r="U20" s="174">
        <v>1</v>
      </c>
      <c r="V20" s="174">
        <v>1</v>
      </c>
      <c r="W20" s="174">
        <v>1</v>
      </c>
      <c r="X20" s="174">
        <v>1</v>
      </c>
      <c r="Y20" s="174">
        <v>1</v>
      </c>
      <c r="Z20" s="184"/>
      <c r="AA20" s="171">
        <f>SUM(D20:Y20)</f>
        <v>22</v>
      </c>
      <c r="AB20" s="171">
        <v>1500</v>
      </c>
      <c r="AC20" s="185">
        <f t="shared" si="0"/>
        <v>33000</v>
      </c>
    </row>
    <row r="21" spans="1:39" ht="61.2" customHeight="1" thickBot="1" x14ac:dyDescent="0.35">
      <c r="A21" s="183">
        <v>3367713</v>
      </c>
      <c r="B21" s="182" t="s">
        <v>107</v>
      </c>
      <c r="C21" s="183" t="s">
        <v>64</v>
      </c>
      <c r="D21" s="174">
        <v>1</v>
      </c>
      <c r="E21" s="174">
        <v>1</v>
      </c>
      <c r="F21" s="174">
        <v>1</v>
      </c>
      <c r="G21" s="174">
        <v>1</v>
      </c>
      <c r="H21" s="174">
        <v>1</v>
      </c>
      <c r="I21" s="174">
        <v>1</v>
      </c>
      <c r="J21" s="174">
        <v>1</v>
      </c>
      <c r="K21" s="174">
        <v>1</v>
      </c>
      <c r="L21" s="174">
        <v>1</v>
      </c>
      <c r="M21" s="174">
        <v>1</v>
      </c>
      <c r="N21" s="174">
        <v>1</v>
      </c>
      <c r="O21" s="174">
        <v>1</v>
      </c>
      <c r="P21" s="174">
        <v>1</v>
      </c>
      <c r="Q21" s="174">
        <v>1</v>
      </c>
      <c r="R21" s="174">
        <v>1</v>
      </c>
      <c r="S21" s="174">
        <v>1</v>
      </c>
      <c r="T21" s="174">
        <v>1</v>
      </c>
      <c r="U21" s="174">
        <v>1</v>
      </c>
      <c r="V21" s="174">
        <v>1</v>
      </c>
      <c r="W21" s="174">
        <v>1</v>
      </c>
      <c r="X21" s="174">
        <v>1</v>
      </c>
      <c r="Y21" s="174">
        <v>1</v>
      </c>
      <c r="Z21" s="184"/>
      <c r="AA21" s="171">
        <f>SUM(D21:Y21)</f>
        <v>22</v>
      </c>
      <c r="AB21" s="171">
        <v>700</v>
      </c>
      <c r="AC21" s="185">
        <f t="shared" si="0"/>
        <v>15400</v>
      </c>
    </row>
    <row r="22" spans="1:39" ht="61.2" customHeight="1" thickBot="1" x14ac:dyDescent="0.35">
      <c r="A22" s="183">
        <v>3367739</v>
      </c>
      <c r="B22" s="182" t="s">
        <v>108</v>
      </c>
      <c r="C22" s="183" t="s">
        <v>64</v>
      </c>
      <c r="D22" s="174">
        <v>1</v>
      </c>
      <c r="E22" s="174">
        <v>1</v>
      </c>
      <c r="F22" s="174">
        <v>1</v>
      </c>
      <c r="G22" s="174">
        <v>1</v>
      </c>
      <c r="H22" s="174">
        <v>1</v>
      </c>
      <c r="I22" s="174">
        <v>1</v>
      </c>
      <c r="J22" s="174">
        <v>1</v>
      </c>
      <c r="K22" s="174">
        <v>1</v>
      </c>
      <c r="L22" s="174">
        <v>1</v>
      </c>
      <c r="M22" s="174">
        <v>1</v>
      </c>
      <c r="N22" s="174">
        <v>1</v>
      </c>
      <c r="O22" s="174">
        <v>1</v>
      </c>
      <c r="P22" s="174">
        <v>1</v>
      </c>
      <c r="Q22" s="174">
        <v>1</v>
      </c>
      <c r="R22" s="174">
        <v>1</v>
      </c>
      <c r="S22" s="174">
        <v>1</v>
      </c>
      <c r="T22" s="174">
        <v>1</v>
      </c>
      <c r="U22" s="174">
        <v>1</v>
      </c>
      <c r="V22" s="174">
        <v>1</v>
      </c>
      <c r="W22" s="174">
        <v>1</v>
      </c>
      <c r="X22" s="174">
        <v>1</v>
      </c>
      <c r="Y22" s="174">
        <v>1</v>
      </c>
      <c r="Z22" s="184"/>
      <c r="AA22" s="171">
        <f>SUM(D22:Y22)</f>
        <v>22</v>
      </c>
      <c r="AB22" s="171">
        <v>700</v>
      </c>
      <c r="AC22" s="185">
        <f t="shared" si="0"/>
        <v>15400</v>
      </c>
    </row>
    <row r="23" spans="1:39" ht="61.2" customHeight="1" thickBot="1" x14ac:dyDescent="0.35">
      <c r="A23" s="183">
        <v>3317347</v>
      </c>
      <c r="B23" s="182" t="s">
        <v>111</v>
      </c>
      <c r="C23" s="183" t="s">
        <v>109</v>
      </c>
      <c r="D23" s="174">
        <f>D16*2</f>
        <v>2</v>
      </c>
      <c r="E23" s="174">
        <f t="shared" ref="E23:Y23" si="1">E16*2</f>
        <v>2</v>
      </c>
      <c r="F23" s="174">
        <f t="shared" si="1"/>
        <v>2</v>
      </c>
      <c r="G23" s="174">
        <f t="shared" si="1"/>
        <v>2</v>
      </c>
      <c r="H23" s="174">
        <f t="shared" si="1"/>
        <v>2</v>
      </c>
      <c r="I23" s="174">
        <f t="shared" si="1"/>
        <v>2</v>
      </c>
      <c r="J23" s="174">
        <f t="shared" si="1"/>
        <v>2</v>
      </c>
      <c r="K23" s="174">
        <f t="shared" si="1"/>
        <v>2</v>
      </c>
      <c r="L23" s="174">
        <f t="shared" si="1"/>
        <v>4</v>
      </c>
      <c r="M23" s="174">
        <f t="shared" si="1"/>
        <v>6</v>
      </c>
      <c r="N23" s="174">
        <f t="shared" si="1"/>
        <v>2</v>
      </c>
      <c r="O23" s="174">
        <f t="shared" si="1"/>
        <v>2</v>
      </c>
      <c r="P23" s="174">
        <f t="shared" si="1"/>
        <v>2</v>
      </c>
      <c r="Q23" s="174">
        <f t="shared" si="1"/>
        <v>2</v>
      </c>
      <c r="R23" s="174">
        <f t="shared" si="1"/>
        <v>2</v>
      </c>
      <c r="S23" s="174">
        <f t="shared" si="1"/>
        <v>2</v>
      </c>
      <c r="T23" s="174">
        <f t="shared" si="1"/>
        <v>4</v>
      </c>
      <c r="U23" s="174">
        <f t="shared" si="1"/>
        <v>2</v>
      </c>
      <c r="V23" s="174">
        <f t="shared" si="1"/>
        <v>2</v>
      </c>
      <c r="W23" s="174">
        <f t="shared" si="1"/>
        <v>2</v>
      </c>
      <c r="X23" s="174">
        <f t="shared" si="1"/>
        <v>2</v>
      </c>
      <c r="Y23" s="174">
        <f t="shared" si="1"/>
        <v>2</v>
      </c>
      <c r="Z23" s="184"/>
      <c r="AA23" s="171">
        <f>SUM(D23:Y23)</f>
        <v>52</v>
      </c>
      <c r="AB23" s="171">
        <v>68</v>
      </c>
      <c r="AC23" s="185">
        <f t="shared" si="0"/>
        <v>3536</v>
      </c>
    </row>
    <row r="24" spans="1:39" ht="61.2" customHeight="1" thickBot="1" x14ac:dyDescent="0.35">
      <c r="A24" s="205">
        <v>3383067</v>
      </c>
      <c r="B24" s="186" t="s">
        <v>145</v>
      </c>
      <c r="C24" s="183" t="s">
        <v>64</v>
      </c>
      <c r="D24" s="174">
        <v>1</v>
      </c>
      <c r="E24" s="174">
        <v>0</v>
      </c>
      <c r="F24" s="174">
        <v>1</v>
      </c>
      <c r="G24" s="174">
        <v>0</v>
      </c>
      <c r="H24" s="174">
        <v>1</v>
      </c>
      <c r="I24" s="174">
        <v>1</v>
      </c>
      <c r="J24" s="174">
        <v>0</v>
      </c>
      <c r="K24" s="174">
        <v>1</v>
      </c>
      <c r="L24" s="174">
        <v>0</v>
      </c>
      <c r="M24" s="174">
        <v>1</v>
      </c>
      <c r="N24" s="174">
        <v>0</v>
      </c>
      <c r="O24" s="174">
        <v>1</v>
      </c>
      <c r="P24" s="174">
        <v>1</v>
      </c>
      <c r="Q24" s="174">
        <v>0</v>
      </c>
      <c r="R24" s="174">
        <v>1</v>
      </c>
      <c r="S24" s="174">
        <v>0</v>
      </c>
      <c r="T24" s="174">
        <v>1</v>
      </c>
      <c r="U24" s="174">
        <v>0</v>
      </c>
      <c r="V24" s="174">
        <v>1</v>
      </c>
      <c r="W24" s="174">
        <v>0</v>
      </c>
      <c r="X24" s="174">
        <v>1</v>
      </c>
      <c r="Y24" s="174">
        <v>0</v>
      </c>
      <c r="Z24" s="184"/>
      <c r="AA24" s="171">
        <f>SUM(D24:Y24)</f>
        <v>12</v>
      </c>
      <c r="AB24" s="171">
        <v>330</v>
      </c>
      <c r="AC24" s="185">
        <f t="shared" si="0"/>
        <v>3960</v>
      </c>
    </row>
    <row r="25" spans="1:39" ht="61.2" customHeight="1" thickBot="1" x14ac:dyDescent="0.35">
      <c r="A25" s="183">
        <v>3269867</v>
      </c>
      <c r="B25" s="182" t="s">
        <v>147</v>
      </c>
      <c r="C25" s="187" t="s">
        <v>109</v>
      </c>
      <c r="D25" s="174">
        <f>D16*2</f>
        <v>2</v>
      </c>
      <c r="E25" s="174">
        <f t="shared" ref="E25:Y25" si="2">E16*2</f>
        <v>2</v>
      </c>
      <c r="F25" s="174">
        <f t="shared" si="2"/>
        <v>2</v>
      </c>
      <c r="G25" s="174">
        <f t="shared" si="2"/>
        <v>2</v>
      </c>
      <c r="H25" s="174">
        <f t="shared" si="2"/>
        <v>2</v>
      </c>
      <c r="I25" s="174">
        <f t="shared" si="2"/>
        <v>2</v>
      </c>
      <c r="J25" s="174">
        <f t="shared" si="2"/>
        <v>2</v>
      </c>
      <c r="K25" s="174">
        <f t="shared" si="2"/>
        <v>2</v>
      </c>
      <c r="L25" s="174">
        <f t="shared" si="2"/>
        <v>4</v>
      </c>
      <c r="M25" s="174">
        <f t="shared" si="2"/>
        <v>6</v>
      </c>
      <c r="N25" s="174">
        <f t="shared" si="2"/>
        <v>2</v>
      </c>
      <c r="O25" s="174">
        <f t="shared" si="2"/>
        <v>2</v>
      </c>
      <c r="P25" s="174">
        <f t="shared" si="2"/>
        <v>2</v>
      </c>
      <c r="Q25" s="174">
        <f t="shared" si="2"/>
        <v>2</v>
      </c>
      <c r="R25" s="174">
        <f t="shared" si="2"/>
        <v>2</v>
      </c>
      <c r="S25" s="174">
        <f t="shared" si="2"/>
        <v>2</v>
      </c>
      <c r="T25" s="174">
        <f t="shared" si="2"/>
        <v>4</v>
      </c>
      <c r="U25" s="174">
        <f t="shared" si="2"/>
        <v>2</v>
      </c>
      <c r="V25" s="174">
        <f t="shared" si="2"/>
        <v>2</v>
      </c>
      <c r="W25" s="174">
        <f t="shared" si="2"/>
        <v>2</v>
      </c>
      <c r="X25" s="174">
        <f t="shared" si="2"/>
        <v>2</v>
      </c>
      <c r="Y25" s="174">
        <f t="shared" si="2"/>
        <v>2</v>
      </c>
      <c r="Z25" s="184"/>
      <c r="AA25" s="171">
        <f>SUM(D25:Y25)</f>
        <v>52</v>
      </c>
      <c r="AB25" s="171">
        <v>40</v>
      </c>
      <c r="AC25" s="185">
        <f t="shared" si="0"/>
        <v>2080</v>
      </c>
    </row>
    <row r="26" spans="1:39" ht="61.2" customHeight="1" thickBot="1" x14ac:dyDescent="0.65">
      <c r="A26" s="188"/>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c r="Z26" s="188"/>
      <c r="AA26" s="265" t="s">
        <v>146</v>
      </c>
      <c r="AB26" s="265"/>
      <c r="AC26" s="189">
        <f>SUM(AC16:AC25)</f>
        <v>124986</v>
      </c>
    </row>
    <row r="27" spans="1:39" s="1" customFormat="1" ht="61.2" x14ac:dyDescent="1.1000000000000001">
      <c r="A27" s="60" t="s">
        <v>21</v>
      </c>
      <c r="B27" s="139"/>
      <c r="C27" s="139"/>
      <c r="D27" s="139"/>
      <c r="E27" s="139"/>
      <c r="F27" s="137"/>
      <c r="G27" s="136"/>
      <c r="H27" s="136" t="s">
        <v>22</v>
      </c>
      <c r="I27" s="139"/>
      <c r="J27" s="139"/>
      <c r="K27" s="139"/>
      <c r="L27" s="139"/>
      <c r="M27" s="139"/>
      <c r="N27" s="139"/>
      <c r="O27" s="139"/>
      <c r="P27" s="139"/>
      <c r="Q27" s="139"/>
      <c r="R27" s="139"/>
      <c r="S27" s="139"/>
      <c r="T27" s="139"/>
      <c r="U27" s="139"/>
      <c r="V27" s="139"/>
      <c r="W27" s="138" t="s">
        <v>23</v>
      </c>
      <c r="X27" s="136"/>
      <c r="Y27" s="136"/>
      <c r="Z27" s="136"/>
      <c r="AA27" s="135"/>
      <c r="AB27" s="136" t="s">
        <v>127</v>
      </c>
      <c r="AC27" s="64"/>
    </row>
    <row r="28" spans="1:39" s="1" customFormat="1" ht="61.2" x14ac:dyDescent="1.1000000000000001">
      <c r="A28" s="60"/>
      <c r="B28" s="139"/>
      <c r="C28" s="139"/>
      <c r="D28" s="139"/>
      <c r="E28" s="139"/>
      <c r="F28" s="137"/>
      <c r="G28" s="136"/>
      <c r="H28" s="136" t="s">
        <v>15</v>
      </c>
      <c r="I28" s="139"/>
      <c r="J28" s="139"/>
      <c r="K28" s="139"/>
      <c r="L28" s="139"/>
      <c r="M28" s="139"/>
      <c r="N28" s="139"/>
      <c r="O28" s="139"/>
      <c r="P28" s="139"/>
      <c r="Q28" s="139"/>
      <c r="R28" s="139"/>
      <c r="S28" s="139"/>
      <c r="T28" s="139"/>
      <c r="U28" s="139"/>
      <c r="V28" s="139"/>
      <c r="W28" s="138" t="s">
        <v>18</v>
      </c>
      <c r="X28" s="136"/>
      <c r="Y28" s="136"/>
      <c r="Z28" s="136"/>
      <c r="AA28" s="135"/>
      <c r="AB28" s="135"/>
      <c r="AC28" s="64"/>
    </row>
    <row r="29" spans="1:39" s="1" customFormat="1" ht="61.2" x14ac:dyDescent="1.1000000000000001">
      <c r="A29" s="60" t="s">
        <v>61</v>
      </c>
      <c r="B29" s="139"/>
      <c r="C29" s="139"/>
      <c r="D29" s="139"/>
      <c r="E29" s="139"/>
      <c r="F29" s="135"/>
      <c r="G29" s="135" t="s">
        <v>242</v>
      </c>
      <c r="H29" s="135"/>
      <c r="I29" s="139"/>
      <c r="J29" s="139"/>
      <c r="K29" s="139"/>
      <c r="L29" s="139"/>
      <c r="M29" s="139"/>
      <c r="N29" s="139"/>
      <c r="O29" s="139"/>
      <c r="P29" s="139"/>
      <c r="Q29" s="139"/>
      <c r="R29" s="139"/>
      <c r="S29" s="139"/>
      <c r="T29" s="139"/>
      <c r="U29" s="139"/>
      <c r="V29" s="139"/>
      <c r="W29" s="138" t="s">
        <v>16</v>
      </c>
      <c r="X29" s="136"/>
      <c r="Y29" s="136"/>
      <c r="Z29" s="136"/>
      <c r="AA29" s="135"/>
      <c r="AB29" s="135"/>
      <c r="AC29" s="64"/>
    </row>
    <row r="30" spans="1:39" s="1" customFormat="1" ht="61.2" x14ac:dyDescent="1.1000000000000001">
      <c r="A30" s="60" t="s">
        <v>19</v>
      </c>
      <c r="B30" s="139"/>
      <c r="C30" s="139"/>
      <c r="D30" s="139"/>
      <c r="E30" s="139"/>
      <c r="F30" s="137"/>
      <c r="G30" s="136"/>
      <c r="H30" s="136" t="s">
        <v>17</v>
      </c>
      <c r="I30" s="139"/>
      <c r="J30" s="139"/>
      <c r="K30" s="139"/>
      <c r="L30" s="139"/>
      <c r="M30" s="139"/>
      <c r="N30" s="139"/>
      <c r="O30" s="139"/>
      <c r="P30" s="139"/>
      <c r="Q30" s="139"/>
      <c r="R30" s="139"/>
      <c r="S30" s="139"/>
      <c r="T30" s="139"/>
      <c r="U30" s="139"/>
      <c r="V30" s="139"/>
      <c r="W30" s="138" t="s">
        <v>20</v>
      </c>
      <c r="X30" s="136"/>
      <c r="Y30" s="136"/>
      <c r="Z30" s="136"/>
      <c r="AA30" s="135"/>
      <c r="AB30" s="135"/>
      <c r="AC30" s="64"/>
    </row>
    <row r="31" spans="1:39" s="1" customFormat="1" ht="61.2" x14ac:dyDescent="1.1000000000000001">
      <c r="A31" s="60"/>
      <c r="B31" s="139"/>
      <c r="C31" s="139"/>
      <c r="D31" s="139"/>
      <c r="E31" s="139"/>
      <c r="F31" s="136"/>
      <c r="G31" s="136"/>
      <c r="H31" s="139"/>
      <c r="I31" s="139"/>
      <c r="J31" s="139"/>
      <c r="K31" s="139"/>
      <c r="L31" s="139"/>
      <c r="M31" s="139"/>
      <c r="N31" s="139"/>
      <c r="O31" s="139"/>
      <c r="P31" s="139"/>
      <c r="Q31" s="139"/>
      <c r="R31" s="139"/>
      <c r="S31" s="139"/>
      <c r="T31" s="139"/>
      <c r="U31" s="139"/>
      <c r="V31" s="139"/>
      <c r="W31" s="139"/>
      <c r="X31" s="139"/>
      <c r="Y31" s="139"/>
      <c r="Z31" s="136"/>
      <c r="AA31" s="135"/>
      <c r="AB31" s="135"/>
      <c r="AC31" s="64"/>
    </row>
    <row r="32" spans="1:39" ht="96.6" customHeight="1" thickBot="1" x14ac:dyDescent="0.65">
      <c r="A32" s="55"/>
      <c r="B32" s="56"/>
      <c r="C32" s="56"/>
      <c r="D32" s="83"/>
      <c r="E32" s="83"/>
      <c r="F32" s="83"/>
      <c r="G32" s="83"/>
      <c r="H32" s="83"/>
      <c r="I32" s="83"/>
      <c r="J32" s="83"/>
      <c r="K32" s="83"/>
      <c r="L32" s="83"/>
      <c r="M32" s="83"/>
      <c r="N32" s="83"/>
      <c r="O32" s="83"/>
      <c r="P32" s="83"/>
      <c r="Q32" s="83"/>
      <c r="R32" s="83"/>
      <c r="S32" s="83"/>
      <c r="T32" s="83"/>
      <c r="U32" s="83"/>
      <c r="V32" s="83"/>
      <c r="W32" s="83"/>
      <c r="X32" s="83"/>
      <c r="Y32" s="83"/>
      <c r="Z32" s="83"/>
      <c r="AA32" s="57"/>
      <c r="AB32" s="57"/>
      <c r="AC32" s="58"/>
    </row>
  </sheetData>
  <mergeCells count="7">
    <mergeCell ref="AA26:AB26"/>
    <mergeCell ref="B13:C13"/>
    <mergeCell ref="B14:C14"/>
    <mergeCell ref="A3:AC3"/>
    <mergeCell ref="H4:X4"/>
    <mergeCell ref="H5:X5"/>
    <mergeCell ref="H6:X6"/>
  </mergeCells>
  <pageMargins left="0.25" right="0.45" top="0.25" bottom="0.25" header="0.3" footer="0.3"/>
  <pageSetup paperSize="9" scale="1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4"/>
  <sheetViews>
    <sheetView zoomScale="26" zoomScaleNormal="26" workbookViewId="0">
      <selection activeCell="D11" sqref="D11:Y11"/>
    </sheetView>
  </sheetViews>
  <sheetFormatPr defaultColWidth="9.33203125" defaultRowHeight="58.5" customHeight="1" x14ac:dyDescent="0.3"/>
  <cols>
    <col min="1" max="1" width="40.6640625" style="2" customWidth="1"/>
    <col min="2" max="2" width="177.109375" style="3" customWidth="1"/>
    <col min="3" max="3" width="23.33203125" style="3" customWidth="1"/>
    <col min="4" max="25" width="18.6640625" style="84" customWidth="1"/>
    <col min="26" max="26" width="18.109375" style="84" customWidth="1"/>
    <col min="27" max="27" width="26" style="2" customWidth="1"/>
    <col min="28" max="28" width="30" style="2" customWidth="1"/>
    <col min="29" max="29" width="38.109375" style="2" customWidth="1"/>
    <col min="30" max="16384" width="9.33203125" style="2"/>
  </cols>
  <sheetData>
    <row r="1" spans="1:29" ht="19.8" x14ac:dyDescent="0.3">
      <c r="A1" s="117"/>
      <c r="B1" s="118"/>
      <c r="C1" s="118"/>
      <c r="D1" s="119"/>
      <c r="E1" s="119"/>
      <c r="F1" s="119"/>
      <c r="G1" s="119"/>
      <c r="H1" s="119"/>
      <c r="I1" s="119"/>
      <c r="J1" s="119"/>
      <c r="K1" s="119"/>
      <c r="L1" s="119"/>
      <c r="M1" s="119"/>
      <c r="N1" s="119"/>
      <c r="O1" s="119"/>
      <c r="P1" s="119"/>
      <c r="Q1" s="119"/>
      <c r="R1" s="119"/>
      <c r="S1" s="119"/>
      <c r="T1" s="119"/>
      <c r="U1" s="119"/>
      <c r="V1" s="119"/>
      <c r="W1" s="119"/>
      <c r="X1" s="119"/>
      <c r="Y1" s="119"/>
      <c r="Z1" s="119"/>
      <c r="AA1" s="120"/>
      <c r="AB1" s="120"/>
      <c r="AC1" s="121"/>
    </row>
    <row r="2" spans="1:29" ht="20.399999999999999" thickBot="1" x14ac:dyDescent="0.35">
      <c r="A2" s="122"/>
      <c r="B2" s="123"/>
      <c r="C2" s="123"/>
      <c r="D2" s="124"/>
      <c r="E2" s="124"/>
      <c r="F2" s="124"/>
      <c r="G2" s="124"/>
      <c r="H2" s="124"/>
      <c r="I2" s="124"/>
      <c r="J2" s="124"/>
      <c r="K2" s="124"/>
      <c r="L2" s="124"/>
      <c r="M2" s="124"/>
      <c r="N2" s="124"/>
      <c r="O2" s="124"/>
      <c r="P2" s="124"/>
      <c r="Q2" s="124"/>
      <c r="R2" s="124"/>
      <c r="S2" s="124"/>
      <c r="T2" s="124"/>
      <c r="U2" s="124"/>
      <c r="V2" s="124"/>
      <c r="W2" s="124"/>
      <c r="X2" s="124"/>
      <c r="Y2" s="124"/>
      <c r="Z2" s="124"/>
      <c r="AA2" s="125"/>
      <c r="AB2" s="125"/>
      <c r="AC2" s="126"/>
    </row>
    <row r="3" spans="1:29" s="6" customFormat="1" ht="93" customHeight="1" thickBot="1" x14ac:dyDescent="0.45">
      <c r="A3" s="267" t="s">
        <v>103</v>
      </c>
      <c r="B3" s="268"/>
      <c r="C3" s="268"/>
      <c r="D3" s="268"/>
      <c r="E3" s="268"/>
      <c r="F3" s="268"/>
      <c r="G3" s="268"/>
      <c r="H3" s="268"/>
      <c r="I3" s="268"/>
      <c r="J3" s="268"/>
      <c r="K3" s="268"/>
      <c r="L3" s="268"/>
      <c r="M3" s="268"/>
      <c r="N3" s="268"/>
      <c r="O3" s="268"/>
      <c r="P3" s="268"/>
      <c r="Q3" s="268"/>
      <c r="R3" s="268"/>
      <c r="S3" s="268"/>
      <c r="T3" s="268"/>
      <c r="U3" s="268"/>
      <c r="V3" s="268"/>
      <c r="W3" s="268"/>
      <c r="X3" s="268"/>
      <c r="Y3" s="268"/>
      <c r="Z3" s="268"/>
      <c r="AA3" s="268"/>
      <c r="AB3" s="268"/>
      <c r="AC3" s="269"/>
    </row>
    <row r="4" spans="1:29" ht="58.5" customHeight="1" x14ac:dyDescent="0.55000000000000004">
      <c r="A4" s="45"/>
      <c r="B4" s="46"/>
      <c r="C4" s="46"/>
      <c r="D4" s="78"/>
      <c r="E4" s="78"/>
      <c r="F4" s="78"/>
      <c r="G4" s="78"/>
      <c r="H4" s="78"/>
      <c r="I4" s="78"/>
      <c r="J4" s="78"/>
      <c r="K4" s="78"/>
      <c r="L4" s="78"/>
      <c r="M4" s="78"/>
      <c r="N4" s="78"/>
      <c r="O4" s="78"/>
      <c r="P4" s="78"/>
      <c r="Q4" s="270" t="s">
        <v>158</v>
      </c>
      <c r="R4" s="270"/>
      <c r="S4" s="270"/>
      <c r="T4" s="270"/>
      <c r="U4" s="270"/>
      <c r="V4" s="270"/>
      <c r="W4" s="270"/>
      <c r="X4" s="270"/>
      <c r="Y4" s="203"/>
      <c r="Z4" s="133"/>
      <c r="AC4" s="59"/>
    </row>
    <row r="5" spans="1:29" ht="46.2" x14ac:dyDescent="0.3">
      <c r="A5" s="65" t="s">
        <v>141</v>
      </c>
      <c r="B5" s="44"/>
      <c r="C5" s="44"/>
      <c r="D5" s="79"/>
      <c r="E5" s="79"/>
      <c r="F5" s="79"/>
      <c r="G5" s="79"/>
      <c r="H5" s="79"/>
      <c r="I5" s="79"/>
      <c r="J5" s="79"/>
      <c r="K5" s="79"/>
      <c r="L5" s="79"/>
      <c r="M5" s="79"/>
      <c r="N5" s="79"/>
      <c r="O5" s="79"/>
      <c r="P5" s="79"/>
      <c r="Q5" s="271" t="s">
        <v>164</v>
      </c>
      <c r="R5" s="271"/>
      <c r="S5" s="271"/>
      <c r="T5" s="271"/>
      <c r="U5" s="271"/>
      <c r="V5" s="271"/>
      <c r="W5" s="271"/>
      <c r="X5" s="271"/>
      <c r="Y5" s="200"/>
      <c r="Z5" s="79"/>
      <c r="AC5" s="59"/>
    </row>
    <row r="6" spans="1:29" ht="46.2" x14ac:dyDescent="0.3">
      <c r="A6" s="65" t="s">
        <v>105</v>
      </c>
      <c r="B6" s="44"/>
      <c r="C6" s="44"/>
      <c r="D6" s="79"/>
      <c r="E6" s="79"/>
      <c r="F6" s="79"/>
      <c r="G6" s="79"/>
      <c r="H6" s="79"/>
      <c r="I6" s="79"/>
      <c r="J6" s="79"/>
      <c r="K6" s="79"/>
      <c r="L6" s="79"/>
      <c r="M6" s="79"/>
      <c r="N6" s="79"/>
      <c r="O6" s="79"/>
      <c r="P6" s="79"/>
      <c r="Q6" s="271"/>
      <c r="R6" s="271"/>
      <c r="S6" s="271"/>
      <c r="T6" s="271"/>
      <c r="U6" s="271"/>
      <c r="V6" s="271"/>
      <c r="W6" s="271"/>
      <c r="X6" s="271"/>
      <c r="Y6" s="200"/>
      <c r="Z6" s="79"/>
      <c r="AC6" s="59"/>
    </row>
    <row r="7" spans="1:29" ht="46.2" x14ac:dyDescent="0.85">
      <c r="A7" s="66"/>
      <c r="B7" s="49"/>
      <c r="C7" s="49"/>
      <c r="D7" s="80"/>
      <c r="E7" s="80"/>
      <c r="F7" s="80"/>
      <c r="G7" s="80"/>
      <c r="H7" s="80"/>
      <c r="I7" s="80"/>
      <c r="J7" s="80"/>
      <c r="K7" s="80"/>
      <c r="L7" s="80"/>
      <c r="M7" s="80"/>
      <c r="N7" s="80"/>
      <c r="O7" s="80"/>
      <c r="P7" s="116" t="s">
        <v>240</v>
      </c>
      <c r="Q7" s="116"/>
      <c r="R7" s="116"/>
      <c r="S7" s="116"/>
      <c r="T7" s="116"/>
      <c r="U7" s="116"/>
      <c r="V7" s="116"/>
      <c r="W7" s="116"/>
      <c r="X7" s="116"/>
      <c r="Y7" s="116"/>
      <c r="Z7" s="80"/>
      <c r="AC7" s="59"/>
    </row>
    <row r="8" spans="1:29" ht="46.5" customHeight="1" x14ac:dyDescent="0.55000000000000004">
      <c r="A8" s="50"/>
      <c r="B8" s="47"/>
      <c r="C8" s="47"/>
      <c r="D8" s="80"/>
      <c r="E8" s="80"/>
      <c r="F8" s="80"/>
      <c r="G8" s="80"/>
      <c r="H8" s="80"/>
      <c r="I8" s="80"/>
      <c r="J8" s="80"/>
      <c r="K8" s="80"/>
      <c r="L8" s="80"/>
      <c r="M8" s="80"/>
      <c r="N8" s="80"/>
      <c r="O8" s="80"/>
      <c r="P8" s="116" t="s">
        <v>241</v>
      </c>
      <c r="Q8" s="116"/>
      <c r="R8" s="116"/>
      <c r="S8" s="116"/>
      <c r="T8" s="116"/>
      <c r="U8" s="116"/>
      <c r="V8" s="116"/>
      <c r="W8" s="116"/>
      <c r="X8" s="116"/>
      <c r="Y8" s="116"/>
      <c r="Z8" s="80"/>
      <c r="AC8" s="59"/>
    </row>
    <row r="9" spans="1:29" ht="28.5" customHeight="1" x14ac:dyDescent="0.55000000000000004">
      <c r="A9" s="50"/>
      <c r="B9" s="47"/>
      <c r="C9" s="47"/>
      <c r="D9" s="80"/>
      <c r="E9" s="80"/>
      <c r="F9" s="80"/>
      <c r="G9" s="80"/>
      <c r="H9" s="80"/>
      <c r="I9" s="80"/>
      <c r="J9" s="80"/>
      <c r="K9" s="80"/>
      <c r="L9" s="80"/>
      <c r="M9" s="80"/>
      <c r="N9" s="80"/>
      <c r="O9" s="80"/>
      <c r="P9" s="80"/>
      <c r="Q9" s="80"/>
      <c r="R9" s="80"/>
      <c r="S9" s="80"/>
      <c r="T9" s="80"/>
      <c r="U9" s="80"/>
      <c r="V9" s="80"/>
      <c r="W9" s="80"/>
      <c r="X9" s="80"/>
      <c r="Y9" s="80"/>
      <c r="Z9" s="80"/>
      <c r="AA9" s="47"/>
      <c r="AB9" s="47"/>
      <c r="AC9" s="48"/>
    </row>
    <row r="10" spans="1:29" ht="21.75" customHeight="1" thickBot="1" x14ac:dyDescent="0.45">
      <c r="A10" s="76"/>
      <c r="B10" s="41"/>
      <c r="C10" s="41"/>
      <c r="D10" s="81"/>
      <c r="E10" s="81"/>
      <c r="F10" s="81"/>
      <c r="G10" s="81"/>
      <c r="H10" s="81"/>
      <c r="I10" s="81"/>
      <c r="J10" s="81"/>
      <c r="K10" s="81"/>
      <c r="L10" s="81"/>
      <c r="M10" s="81"/>
      <c r="N10" s="81"/>
      <c r="O10" s="81"/>
      <c r="P10" s="81"/>
      <c r="Q10" s="81"/>
      <c r="R10" s="81"/>
      <c r="S10" s="81"/>
      <c r="T10" s="81"/>
      <c r="U10" s="81"/>
      <c r="V10" s="81"/>
      <c r="W10" s="81"/>
      <c r="X10" s="81"/>
      <c r="Y10" s="81"/>
      <c r="Z10" s="81"/>
      <c r="AA10" s="77"/>
      <c r="AB10" s="39"/>
      <c r="AC10" s="40"/>
    </row>
    <row r="11" spans="1:29" s="4" customFormat="1" ht="36" customHeight="1" thickBot="1" x14ac:dyDescent="1.1499999999999999">
      <c r="A11" s="160"/>
      <c r="B11" s="161" t="s">
        <v>0</v>
      </c>
      <c r="C11" s="161"/>
      <c r="D11" s="214">
        <v>1</v>
      </c>
      <c r="E11" s="214">
        <v>2</v>
      </c>
      <c r="F11" s="214">
        <v>3</v>
      </c>
      <c r="G11" s="214">
        <v>4</v>
      </c>
      <c r="H11" s="214">
        <v>5</v>
      </c>
      <c r="I11" s="233">
        <v>6</v>
      </c>
      <c r="J11" s="233">
        <v>7</v>
      </c>
      <c r="K11" s="233">
        <v>8</v>
      </c>
      <c r="L11" s="233">
        <v>9</v>
      </c>
      <c r="M11" s="233">
        <v>10</v>
      </c>
      <c r="N11" s="233">
        <v>11</v>
      </c>
      <c r="O11" s="233">
        <v>12</v>
      </c>
      <c r="P11" s="233">
        <v>13</v>
      </c>
      <c r="Q11" s="233">
        <v>14</v>
      </c>
      <c r="R11" s="233">
        <v>15</v>
      </c>
      <c r="S11" s="233">
        <v>16</v>
      </c>
      <c r="T11" s="233">
        <v>17</v>
      </c>
      <c r="U11" s="233">
        <v>18</v>
      </c>
      <c r="V11" s="233">
        <v>19</v>
      </c>
      <c r="W11" s="233">
        <v>20</v>
      </c>
      <c r="X11" s="233">
        <v>21</v>
      </c>
      <c r="Y11" s="233">
        <v>22</v>
      </c>
      <c r="Z11" s="162"/>
      <c r="AA11" s="163"/>
      <c r="AB11" s="164"/>
      <c r="AC11" s="164"/>
    </row>
    <row r="12" spans="1:29" ht="408.6" customHeight="1" thickBot="1" x14ac:dyDescent="0.35">
      <c r="A12" s="165" t="s">
        <v>5</v>
      </c>
      <c r="B12" s="165" t="s">
        <v>1</v>
      </c>
      <c r="C12" s="165"/>
      <c r="D12" s="221" t="s">
        <v>167</v>
      </c>
      <c r="E12" s="221" t="s">
        <v>173</v>
      </c>
      <c r="F12" s="221" t="s">
        <v>176</v>
      </c>
      <c r="G12" s="221" t="s">
        <v>179</v>
      </c>
      <c r="H12" s="221" t="s">
        <v>182</v>
      </c>
      <c r="I12" s="221" t="s">
        <v>185</v>
      </c>
      <c r="J12" s="221" t="s">
        <v>189</v>
      </c>
      <c r="K12" s="221" t="s">
        <v>192</v>
      </c>
      <c r="L12" s="221" t="s">
        <v>195</v>
      </c>
      <c r="M12" s="221" t="s">
        <v>198</v>
      </c>
      <c r="N12" s="221" t="s">
        <v>201</v>
      </c>
      <c r="O12" s="221" t="s">
        <v>204</v>
      </c>
      <c r="P12" s="221" t="s">
        <v>207</v>
      </c>
      <c r="Q12" s="221" t="s">
        <v>210</v>
      </c>
      <c r="R12" s="221" t="s">
        <v>213</v>
      </c>
      <c r="S12" s="221" t="s">
        <v>216</v>
      </c>
      <c r="T12" s="221" t="s">
        <v>219</v>
      </c>
      <c r="U12" s="221" t="s">
        <v>222</v>
      </c>
      <c r="V12" s="221" t="s">
        <v>225</v>
      </c>
      <c r="W12" s="221" t="s">
        <v>228</v>
      </c>
      <c r="X12" s="221" t="s">
        <v>231</v>
      </c>
      <c r="Y12" s="221" t="s">
        <v>234</v>
      </c>
      <c r="Z12" s="166"/>
      <c r="AA12" s="167" t="s">
        <v>4</v>
      </c>
      <c r="AB12" s="168" t="s">
        <v>12</v>
      </c>
      <c r="AC12" s="169" t="s">
        <v>13</v>
      </c>
    </row>
    <row r="13" spans="1:29" ht="116.4" customHeight="1" thickBot="1" x14ac:dyDescent="0.35">
      <c r="A13" s="202"/>
      <c r="B13" s="266" t="s">
        <v>2</v>
      </c>
      <c r="C13" s="266"/>
      <c r="D13" s="206" t="s">
        <v>24</v>
      </c>
      <c r="E13" s="206" t="s">
        <v>24</v>
      </c>
      <c r="F13" s="206" t="s">
        <v>24</v>
      </c>
      <c r="G13" s="206" t="s">
        <v>24</v>
      </c>
      <c r="H13" s="206" t="s">
        <v>24</v>
      </c>
      <c r="I13" s="206" t="s">
        <v>24</v>
      </c>
      <c r="J13" s="206" t="s">
        <v>24</v>
      </c>
      <c r="K13" s="206" t="s">
        <v>24</v>
      </c>
      <c r="L13" s="206" t="s">
        <v>24</v>
      </c>
      <c r="M13" s="206" t="s">
        <v>24</v>
      </c>
      <c r="N13" s="206" t="s">
        <v>24</v>
      </c>
      <c r="O13" s="206" t="s">
        <v>24</v>
      </c>
      <c r="P13" s="206" t="s">
        <v>24</v>
      </c>
      <c r="Q13" s="206" t="s">
        <v>24</v>
      </c>
      <c r="R13" s="206" t="s">
        <v>24</v>
      </c>
      <c r="S13" s="206" t="s">
        <v>24</v>
      </c>
      <c r="T13" s="206" t="s">
        <v>24</v>
      </c>
      <c r="U13" s="206" t="s">
        <v>24</v>
      </c>
      <c r="V13" s="206" t="s">
        <v>24</v>
      </c>
      <c r="W13" s="206" t="s">
        <v>24</v>
      </c>
      <c r="X13" s="206" t="s">
        <v>24</v>
      </c>
      <c r="Y13" s="206" t="s">
        <v>24</v>
      </c>
      <c r="Z13" s="170"/>
      <c r="AA13" s="171"/>
      <c r="AB13" s="172"/>
      <c r="AC13" s="173"/>
    </row>
    <row r="14" spans="1:29" ht="85.95" customHeight="1" thickBot="1" x14ac:dyDescent="0.35">
      <c r="A14" s="202"/>
      <c r="B14" s="266" t="s">
        <v>3</v>
      </c>
      <c r="C14" s="266"/>
      <c r="D14" s="216">
        <v>1</v>
      </c>
      <c r="E14" s="216">
        <v>1</v>
      </c>
      <c r="F14" s="216">
        <v>1</v>
      </c>
      <c r="G14" s="216">
        <v>1</v>
      </c>
      <c r="H14" s="216">
        <v>1</v>
      </c>
      <c r="I14" s="216">
        <v>1</v>
      </c>
      <c r="J14" s="216">
        <v>1</v>
      </c>
      <c r="K14" s="216">
        <v>1</v>
      </c>
      <c r="L14" s="216">
        <v>2</v>
      </c>
      <c r="M14" s="216">
        <v>3</v>
      </c>
      <c r="N14" s="216">
        <v>1</v>
      </c>
      <c r="O14" s="216">
        <v>1</v>
      </c>
      <c r="P14" s="216">
        <v>1</v>
      </c>
      <c r="Q14" s="216">
        <v>1</v>
      </c>
      <c r="R14" s="216">
        <v>1</v>
      </c>
      <c r="S14" s="216">
        <v>1</v>
      </c>
      <c r="T14" s="216">
        <v>2</v>
      </c>
      <c r="U14" s="216">
        <v>1</v>
      </c>
      <c r="V14" s="216">
        <v>1</v>
      </c>
      <c r="W14" s="216">
        <v>1</v>
      </c>
      <c r="X14" s="216">
        <v>1</v>
      </c>
      <c r="Y14" s="216">
        <v>1</v>
      </c>
      <c r="Z14" s="172"/>
      <c r="AA14" s="171">
        <f>SUM(D14:Y14)</f>
        <v>26</v>
      </c>
      <c r="AB14" s="172"/>
      <c r="AC14" s="162"/>
    </row>
    <row r="15" spans="1:29" ht="104.25" customHeight="1" thickBot="1" x14ac:dyDescent="1">
      <c r="A15" s="175" t="s">
        <v>112</v>
      </c>
      <c r="B15" s="176" t="s">
        <v>62</v>
      </c>
      <c r="C15" s="177" t="s">
        <v>63</v>
      </c>
      <c r="D15" s="178"/>
      <c r="E15" s="178"/>
      <c r="F15" s="178"/>
      <c r="G15" s="178"/>
      <c r="H15" s="178"/>
      <c r="I15" s="178"/>
      <c r="J15" s="178"/>
      <c r="K15" s="178"/>
      <c r="L15" s="178"/>
      <c r="M15" s="178"/>
      <c r="N15" s="178"/>
      <c r="O15" s="178"/>
      <c r="P15" s="178"/>
      <c r="Q15" s="178"/>
      <c r="R15" s="178"/>
      <c r="S15" s="178"/>
      <c r="T15" s="178"/>
      <c r="U15" s="178"/>
      <c r="V15" s="178"/>
      <c r="W15" s="178"/>
      <c r="X15" s="178"/>
      <c r="Y15" s="178"/>
      <c r="Z15" s="179"/>
      <c r="AA15" s="180"/>
      <c r="AB15" s="180"/>
      <c r="AC15" s="181"/>
    </row>
    <row r="16" spans="1:29" ht="64.2" customHeight="1" thickBot="1" x14ac:dyDescent="0.35">
      <c r="A16" s="183">
        <v>3367489</v>
      </c>
      <c r="B16" s="182" t="s">
        <v>110</v>
      </c>
      <c r="C16" s="183" t="s">
        <v>64</v>
      </c>
      <c r="D16" s="222">
        <v>1</v>
      </c>
      <c r="E16" s="222">
        <v>1</v>
      </c>
      <c r="F16" s="222">
        <v>1</v>
      </c>
      <c r="G16" s="222">
        <v>1</v>
      </c>
      <c r="H16" s="222">
        <v>1</v>
      </c>
      <c r="I16" s="222">
        <v>1</v>
      </c>
      <c r="J16" s="222">
        <v>1</v>
      </c>
      <c r="K16" s="222">
        <v>1</v>
      </c>
      <c r="L16" s="222">
        <v>2</v>
      </c>
      <c r="M16" s="222">
        <v>3</v>
      </c>
      <c r="N16" s="222">
        <v>1</v>
      </c>
      <c r="O16" s="222">
        <v>1</v>
      </c>
      <c r="P16" s="222">
        <v>1</v>
      </c>
      <c r="Q16" s="222">
        <v>1</v>
      </c>
      <c r="R16" s="222">
        <v>1</v>
      </c>
      <c r="S16" s="222">
        <v>1</v>
      </c>
      <c r="T16" s="222">
        <v>2</v>
      </c>
      <c r="U16" s="222">
        <v>1</v>
      </c>
      <c r="V16" s="222">
        <v>1</v>
      </c>
      <c r="W16" s="222">
        <v>1</v>
      </c>
      <c r="X16" s="222">
        <v>1</v>
      </c>
      <c r="Y16" s="222">
        <v>1</v>
      </c>
      <c r="Z16" s="184"/>
      <c r="AA16" s="171">
        <f>SUM(D16:Y16)</f>
        <v>26</v>
      </c>
      <c r="AB16" s="171">
        <v>200</v>
      </c>
      <c r="AC16" s="185">
        <f>AA16*AB16</f>
        <v>5200</v>
      </c>
    </row>
    <row r="17" spans="1:29" ht="64.2" customHeight="1" thickBot="1" x14ac:dyDescent="0.35">
      <c r="A17" s="183">
        <v>3367548</v>
      </c>
      <c r="B17" s="182" t="s">
        <v>129</v>
      </c>
      <c r="C17" s="183" t="s">
        <v>109</v>
      </c>
      <c r="D17" s="223">
        <v>5</v>
      </c>
      <c r="E17" s="223">
        <v>5</v>
      </c>
      <c r="F17" s="223">
        <v>5</v>
      </c>
      <c r="G17" s="223">
        <v>5</v>
      </c>
      <c r="H17" s="223">
        <v>5</v>
      </c>
      <c r="I17" s="223">
        <v>5</v>
      </c>
      <c r="J17" s="222">
        <v>50</v>
      </c>
      <c r="K17" s="223">
        <v>5</v>
      </c>
      <c r="L17" s="223">
        <v>10</v>
      </c>
      <c r="M17" s="223">
        <v>60</v>
      </c>
      <c r="N17" s="223">
        <v>5</v>
      </c>
      <c r="O17" s="223">
        <v>50</v>
      </c>
      <c r="P17" s="223">
        <v>5</v>
      </c>
      <c r="Q17" s="222">
        <v>5</v>
      </c>
      <c r="R17" s="223">
        <v>5</v>
      </c>
      <c r="S17" s="223">
        <v>5</v>
      </c>
      <c r="T17" s="223">
        <v>100</v>
      </c>
      <c r="U17" s="223">
        <v>5</v>
      </c>
      <c r="V17" s="223">
        <v>50</v>
      </c>
      <c r="W17" s="223">
        <v>5</v>
      </c>
      <c r="X17" s="223">
        <v>50</v>
      </c>
      <c r="Y17" s="223">
        <v>50</v>
      </c>
      <c r="Z17" s="184"/>
      <c r="AA17" s="171">
        <f>SUM(D17:Y17)</f>
        <v>490</v>
      </c>
      <c r="AB17" s="171">
        <v>5</v>
      </c>
      <c r="AC17" s="185">
        <f t="shared" ref="AC17:AC25" si="0">AA17*AB17</f>
        <v>2450</v>
      </c>
    </row>
    <row r="18" spans="1:29" ht="64.2" customHeight="1" thickBot="1" x14ac:dyDescent="0.35">
      <c r="A18" s="183">
        <v>3137158</v>
      </c>
      <c r="B18" s="182" t="s">
        <v>130</v>
      </c>
      <c r="C18" s="183" t="s">
        <v>109</v>
      </c>
      <c r="D18" s="223">
        <v>50</v>
      </c>
      <c r="E18" s="223">
        <v>50</v>
      </c>
      <c r="F18" s="223">
        <v>50</v>
      </c>
      <c r="G18" s="223">
        <v>50</v>
      </c>
      <c r="H18" s="223">
        <v>50</v>
      </c>
      <c r="I18" s="223">
        <v>50</v>
      </c>
      <c r="J18" s="222">
        <v>50</v>
      </c>
      <c r="K18" s="223">
        <v>50</v>
      </c>
      <c r="L18" s="223">
        <v>100</v>
      </c>
      <c r="M18" s="223">
        <v>150</v>
      </c>
      <c r="N18" s="223">
        <v>50</v>
      </c>
      <c r="O18" s="223">
        <v>50</v>
      </c>
      <c r="P18" s="223">
        <v>50</v>
      </c>
      <c r="Q18" s="222">
        <v>50</v>
      </c>
      <c r="R18" s="223">
        <v>50</v>
      </c>
      <c r="S18" s="223">
        <v>50</v>
      </c>
      <c r="T18" s="223">
        <v>100</v>
      </c>
      <c r="U18" s="223">
        <v>50</v>
      </c>
      <c r="V18" s="223">
        <v>50</v>
      </c>
      <c r="W18" s="223">
        <v>50</v>
      </c>
      <c r="X18" s="223">
        <v>50</v>
      </c>
      <c r="Y18" s="223">
        <v>50</v>
      </c>
      <c r="Z18" s="184"/>
      <c r="AA18" s="171">
        <f>SUM(D18:Y18)</f>
        <v>1300</v>
      </c>
      <c r="AB18" s="171">
        <v>12</v>
      </c>
      <c r="AC18" s="185">
        <f t="shared" si="0"/>
        <v>15600</v>
      </c>
    </row>
    <row r="19" spans="1:29" s="90" customFormat="1" ht="133.19999999999999" customHeight="1" thickBot="1" x14ac:dyDescent="0.35">
      <c r="A19" s="183">
        <v>3397253</v>
      </c>
      <c r="B19" s="182" t="s">
        <v>106</v>
      </c>
      <c r="C19" s="183" t="s">
        <v>99</v>
      </c>
      <c r="D19" s="224">
        <v>14</v>
      </c>
      <c r="E19" s="224">
        <v>126</v>
      </c>
      <c r="F19" s="224">
        <v>35</v>
      </c>
      <c r="G19" s="224">
        <v>5</v>
      </c>
      <c r="H19" s="224">
        <v>62</v>
      </c>
      <c r="I19" s="224">
        <v>167</v>
      </c>
      <c r="J19" s="174">
        <v>30</v>
      </c>
      <c r="K19" s="224">
        <v>114</v>
      </c>
      <c r="L19" s="224">
        <v>8</v>
      </c>
      <c r="M19" s="224">
        <v>40</v>
      </c>
      <c r="N19" s="224">
        <v>168</v>
      </c>
      <c r="O19" s="224">
        <v>21</v>
      </c>
      <c r="P19" s="224">
        <v>20</v>
      </c>
      <c r="Q19" s="224">
        <v>71</v>
      </c>
      <c r="R19" s="224">
        <v>21</v>
      </c>
      <c r="S19" s="224">
        <v>55</v>
      </c>
      <c r="T19" s="224">
        <v>185</v>
      </c>
      <c r="U19" s="224">
        <v>18</v>
      </c>
      <c r="V19" s="224">
        <v>31</v>
      </c>
      <c r="W19" s="224">
        <v>184</v>
      </c>
      <c r="X19" s="224">
        <v>28</v>
      </c>
      <c r="Y19" s="224">
        <v>15</v>
      </c>
      <c r="Z19" s="184"/>
      <c r="AA19" s="171">
        <f>SUM(D19:Y19)</f>
        <v>1418</v>
      </c>
      <c r="AB19" s="171">
        <v>20</v>
      </c>
      <c r="AC19" s="185">
        <f t="shared" si="0"/>
        <v>28360</v>
      </c>
    </row>
    <row r="20" spans="1:29" ht="64.2" customHeight="1" thickBot="1" x14ac:dyDescent="0.35">
      <c r="A20" s="183">
        <v>3397271</v>
      </c>
      <c r="B20" s="182" t="s">
        <v>128</v>
      </c>
      <c r="C20" s="183" t="s">
        <v>64</v>
      </c>
      <c r="D20" s="174">
        <v>1</v>
      </c>
      <c r="E20" s="174">
        <v>1</v>
      </c>
      <c r="F20" s="174">
        <v>1</v>
      </c>
      <c r="G20" s="174">
        <v>1</v>
      </c>
      <c r="H20" s="174">
        <v>1</v>
      </c>
      <c r="I20" s="174">
        <v>1</v>
      </c>
      <c r="J20" s="174">
        <v>1</v>
      </c>
      <c r="K20" s="174">
        <v>1</v>
      </c>
      <c r="L20" s="174">
        <v>1</v>
      </c>
      <c r="M20" s="174">
        <v>1</v>
      </c>
      <c r="N20" s="174">
        <v>1</v>
      </c>
      <c r="O20" s="174">
        <v>1</v>
      </c>
      <c r="P20" s="174">
        <v>1</v>
      </c>
      <c r="Q20" s="174">
        <v>1</v>
      </c>
      <c r="R20" s="174">
        <v>1</v>
      </c>
      <c r="S20" s="174">
        <v>1</v>
      </c>
      <c r="T20" s="174">
        <v>1</v>
      </c>
      <c r="U20" s="174">
        <v>1</v>
      </c>
      <c r="V20" s="174">
        <v>1</v>
      </c>
      <c r="W20" s="174">
        <v>1</v>
      </c>
      <c r="X20" s="174">
        <v>1</v>
      </c>
      <c r="Y20" s="174">
        <v>1</v>
      </c>
      <c r="Z20" s="184"/>
      <c r="AA20" s="171">
        <f>SUM(D20:Y20)</f>
        <v>22</v>
      </c>
      <c r="AB20" s="171">
        <v>1500</v>
      </c>
      <c r="AC20" s="185">
        <f t="shared" si="0"/>
        <v>33000</v>
      </c>
    </row>
    <row r="21" spans="1:29" ht="64.2" customHeight="1" thickBot="1" x14ac:dyDescent="0.35">
      <c r="A21" s="183">
        <v>3367713</v>
      </c>
      <c r="B21" s="182" t="s">
        <v>107</v>
      </c>
      <c r="C21" s="183" t="s">
        <v>64</v>
      </c>
      <c r="D21" s="174">
        <v>1</v>
      </c>
      <c r="E21" s="174">
        <v>1</v>
      </c>
      <c r="F21" s="174">
        <v>1</v>
      </c>
      <c r="G21" s="174">
        <v>1</v>
      </c>
      <c r="H21" s="174">
        <v>1</v>
      </c>
      <c r="I21" s="174">
        <v>1</v>
      </c>
      <c r="J21" s="174">
        <v>1</v>
      </c>
      <c r="K21" s="174">
        <v>1</v>
      </c>
      <c r="L21" s="174">
        <v>1</v>
      </c>
      <c r="M21" s="174">
        <v>1</v>
      </c>
      <c r="N21" s="174">
        <v>1</v>
      </c>
      <c r="O21" s="174">
        <v>1</v>
      </c>
      <c r="P21" s="174">
        <v>1</v>
      </c>
      <c r="Q21" s="174">
        <v>1</v>
      </c>
      <c r="R21" s="174">
        <v>1</v>
      </c>
      <c r="S21" s="174">
        <v>1</v>
      </c>
      <c r="T21" s="174">
        <v>1</v>
      </c>
      <c r="U21" s="174">
        <v>1</v>
      </c>
      <c r="V21" s="174">
        <v>1</v>
      </c>
      <c r="W21" s="174">
        <v>1</v>
      </c>
      <c r="X21" s="174">
        <v>1</v>
      </c>
      <c r="Y21" s="174">
        <v>1</v>
      </c>
      <c r="Z21" s="184"/>
      <c r="AA21" s="171">
        <f>SUM(D21:Y21)</f>
        <v>22</v>
      </c>
      <c r="AB21" s="171">
        <v>700</v>
      </c>
      <c r="AC21" s="185">
        <f t="shared" si="0"/>
        <v>15400</v>
      </c>
    </row>
    <row r="22" spans="1:29" ht="64.2" customHeight="1" thickBot="1" x14ac:dyDescent="0.35">
      <c r="A22" s="183">
        <v>3367739</v>
      </c>
      <c r="B22" s="182" t="s">
        <v>108</v>
      </c>
      <c r="C22" s="183" t="s">
        <v>64</v>
      </c>
      <c r="D22" s="174">
        <v>1</v>
      </c>
      <c r="E22" s="174">
        <v>1</v>
      </c>
      <c r="F22" s="174">
        <v>1</v>
      </c>
      <c r="G22" s="174">
        <v>1</v>
      </c>
      <c r="H22" s="174">
        <v>1</v>
      </c>
      <c r="I22" s="174">
        <v>1</v>
      </c>
      <c r="J22" s="174">
        <v>1</v>
      </c>
      <c r="K22" s="174">
        <v>1</v>
      </c>
      <c r="L22" s="174">
        <v>1</v>
      </c>
      <c r="M22" s="174">
        <v>1</v>
      </c>
      <c r="N22" s="174">
        <v>1</v>
      </c>
      <c r="O22" s="174">
        <v>1</v>
      </c>
      <c r="P22" s="174">
        <v>1</v>
      </c>
      <c r="Q22" s="174">
        <v>1</v>
      </c>
      <c r="R22" s="174">
        <v>1</v>
      </c>
      <c r="S22" s="174">
        <v>1</v>
      </c>
      <c r="T22" s="174">
        <v>1</v>
      </c>
      <c r="U22" s="174">
        <v>1</v>
      </c>
      <c r="V22" s="174">
        <v>1</v>
      </c>
      <c r="W22" s="174">
        <v>1</v>
      </c>
      <c r="X22" s="174">
        <v>1</v>
      </c>
      <c r="Y22" s="174">
        <v>1</v>
      </c>
      <c r="Z22" s="184"/>
      <c r="AA22" s="171">
        <f>SUM(D22:Y22)</f>
        <v>22</v>
      </c>
      <c r="AB22" s="171">
        <v>700</v>
      </c>
      <c r="AC22" s="185">
        <f t="shared" si="0"/>
        <v>15400</v>
      </c>
    </row>
    <row r="23" spans="1:29" ht="64.2" customHeight="1" thickBot="1" x14ac:dyDescent="0.35">
      <c r="A23" s="183">
        <v>3317347</v>
      </c>
      <c r="B23" s="182" t="s">
        <v>111</v>
      </c>
      <c r="C23" s="183" t="s">
        <v>109</v>
      </c>
      <c r="D23" s="174">
        <f>D16*2</f>
        <v>2</v>
      </c>
      <c r="E23" s="174">
        <f t="shared" ref="E23:Y23" si="1">E16*2</f>
        <v>2</v>
      </c>
      <c r="F23" s="174">
        <f t="shared" si="1"/>
        <v>2</v>
      </c>
      <c r="G23" s="174">
        <f t="shared" si="1"/>
        <v>2</v>
      </c>
      <c r="H23" s="174">
        <f t="shared" si="1"/>
        <v>2</v>
      </c>
      <c r="I23" s="174">
        <f t="shared" si="1"/>
        <v>2</v>
      </c>
      <c r="J23" s="174">
        <f t="shared" si="1"/>
        <v>2</v>
      </c>
      <c r="K23" s="174">
        <f t="shared" si="1"/>
        <v>2</v>
      </c>
      <c r="L23" s="174">
        <f t="shared" si="1"/>
        <v>4</v>
      </c>
      <c r="M23" s="174">
        <f t="shared" si="1"/>
        <v>6</v>
      </c>
      <c r="N23" s="174">
        <f t="shared" si="1"/>
        <v>2</v>
      </c>
      <c r="O23" s="174">
        <f t="shared" si="1"/>
        <v>2</v>
      </c>
      <c r="P23" s="174">
        <f t="shared" si="1"/>
        <v>2</v>
      </c>
      <c r="Q23" s="174">
        <f t="shared" si="1"/>
        <v>2</v>
      </c>
      <c r="R23" s="174">
        <f t="shared" si="1"/>
        <v>2</v>
      </c>
      <c r="S23" s="174">
        <f t="shared" si="1"/>
        <v>2</v>
      </c>
      <c r="T23" s="174">
        <f t="shared" si="1"/>
        <v>4</v>
      </c>
      <c r="U23" s="174">
        <f t="shared" si="1"/>
        <v>2</v>
      </c>
      <c r="V23" s="174">
        <f t="shared" si="1"/>
        <v>2</v>
      </c>
      <c r="W23" s="174">
        <f t="shared" si="1"/>
        <v>2</v>
      </c>
      <c r="X23" s="174">
        <f t="shared" si="1"/>
        <v>2</v>
      </c>
      <c r="Y23" s="174">
        <f t="shared" si="1"/>
        <v>2</v>
      </c>
      <c r="Z23" s="184"/>
      <c r="AA23" s="171">
        <f>SUM(D23:Y23)</f>
        <v>52</v>
      </c>
      <c r="AB23" s="171">
        <v>68</v>
      </c>
      <c r="AC23" s="185">
        <f t="shared" si="0"/>
        <v>3536</v>
      </c>
    </row>
    <row r="24" spans="1:29" ht="64.2" customHeight="1" thickBot="1" x14ac:dyDescent="0.35">
      <c r="A24" s="205">
        <v>3383067</v>
      </c>
      <c r="B24" s="186" t="s">
        <v>145</v>
      </c>
      <c r="C24" s="183" t="s">
        <v>64</v>
      </c>
      <c r="D24" s="174">
        <v>1</v>
      </c>
      <c r="E24" s="174">
        <v>0</v>
      </c>
      <c r="F24" s="174">
        <v>1</v>
      </c>
      <c r="G24" s="174">
        <v>0</v>
      </c>
      <c r="H24" s="174">
        <v>1</v>
      </c>
      <c r="I24" s="174">
        <v>1</v>
      </c>
      <c r="J24" s="174">
        <v>0</v>
      </c>
      <c r="K24" s="174">
        <v>1</v>
      </c>
      <c r="L24" s="174">
        <v>0</v>
      </c>
      <c r="M24" s="174">
        <v>1</v>
      </c>
      <c r="N24" s="174">
        <v>0</v>
      </c>
      <c r="O24" s="174">
        <v>1</v>
      </c>
      <c r="P24" s="174">
        <v>1</v>
      </c>
      <c r="Q24" s="174">
        <v>0</v>
      </c>
      <c r="R24" s="174">
        <v>1</v>
      </c>
      <c r="S24" s="174">
        <v>0</v>
      </c>
      <c r="T24" s="174">
        <v>1</v>
      </c>
      <c r="U24" s="174">
        <v>0</v>
      </c>
      <c r="V24" s="174">
        <v>1</v>
      </c>
      <c r="W24" s="174">
        <v>0</v>
      </c>
      <c r="X24" s="174">
        <v>1</v>
      </c>
      <c r="Y24" s="174">
        <v>0</v>
      </c>
      <c r="Z24" s="184"/>
      <c r="AA24" s="171">
        <f>SUM(D24:Y24)</f>
        <v>12</v>
      </c>
      <c r="AB24" s="171">
        <v>330</v>
      </c>
      <c r="AC24" s="185">
        <f t="shared" si="0"/>
        <v>3960</v>
      </c>
    </row>
    <row r="25" spans="1:29" ht="64.2" customHeight="1" thickBot="1" x14ac:dyDescent="0.35">
      <c r="A25" s="183">
        <v>3269867</v>
      </c>
      <c r="B25" s="182" t="s">
        <v>147</v>
      </c>
      <c r="C25" s="187" t="s">
        <v>109</v>
      </c>
      <c r="D25" s="174">
        <f t="shared" ref="D25:Y25" si="2">D16*2</f>
        <v>2</v>
      </c>
      <c r="E25" s="174">
        <f t="shared" si="2"/>
        <v>2</v>
      </c>
      <c r="F25" s="174">
        <f t="shared" si="2"/>
        <v>2</v>
      </c>
      <c r="G25" s="174">
        <f t="shared" si="2"/>
        <v>2</v>
      </c>
      <c r="H25" s="174">
        <f t="shared" si="2"/>
        <v>2</v>
      </c>
      <c r="I25" s="174">
        <f t="shared" si="2"/>
        <v>2</v>
      </c>
      <c r="J25" s="174">
        <f t="shared" si="2"/>
        <v>2</v>
      </c>
      <c r="K25" s="174">
        <f t="shared" si="2"/>
        <v>2</v>
      </c>
      <c r="L25" s="174">
        <f t="shared" si="2"/>
        <v>4</v>
      </c>
      <c r="M25" s="174">
        <f t="shared" si="2"/>
        <v>6</v>
      </c>
      <c r="N25" s="174">
        <f t="shared" si="2"/>
        <v>2</v>
      </c>
      <c r="O25" s="174">
        <f t="shared" si="2"/>
        <v>2</v>
      </c>
      <c r="P25" s="174">
        <f t="shared" si="2"/>
        <v>2</v>
      </c>
      <c r="Q25" s="174">
        <f t="shared" si="2"/>
        <v>2</v>
      </c>
      <c r="R25" s="174">
        <f t="shared" si="2"/>
        <v>2</v>
      </c>
      <c r="S25" s="174">
        <f t="shared" si="2"/>
        <v>2</v>
      </c>
      <c r="T25" s="174">
        <f t="shared" si="2"/>
        <v>4</v>
      </c>
      <c r="U25" s="174">
        <f t="shared" si="2"/>
        <v>2</v>
      </c>
      <c r="V25" s="174">
        <f t="shared" si="2"/>
        <v>2</v>
      </c>
      <c r="W25" s="174">
        <f t="shared" si="2"/>
        <v>2</v>
      </c>
      <c r="X25" s="174">
        <f t="shared" si="2"/>
        <v>2</v>
      </c>
      <c r="Y25" s="174">
        <f t="shared" si="2"/>
        <v>2</v>
      </c>
      <c r="Z25" s="184"/>
      <c r="AA25" s="171">
        <f>SUM(D25:Y25)</f>
        <v>52</v>
      </c>
      <c r="AB25" s="171">
        <v>40</v>
      </c>
      <c r="AC25" s="185">
        <f t="shared" si="0"/>
        <v>2080</v>
      </c>
    </row>
    <row r="26" spans="1:29" ht="87" customHeight="1" thickBot="1" x14ac:dyDescent="0.65">
      <c r="A26" s="188"/>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c r="Z26" s="188"/>
      <c r="AA26" s="265" t="s">
        <v>146</v>
      </c>
      <c r="AB26" s="265"/>
      <c r="AC26" s="189">
        <f>SUM(AC16:AC25)</f>
        <v>124986</v>
      </c>
    </row>
    <row r="27" spans="1:29" ht="20.25" customHeight="1" x14ac:dyDescent="0.6">
      <c r="A27" s="51"/>
      <c r="B27" s="52"/>
      <c r="C27" s="52"/>
      <c r="D27" s="82"/>
      <c r="E27" s="82"/>
      <c r="F27" s="82"/>
      <c r="G27" s="82"/>
      <c r="H27" s="82"/>
      <c r="I27" s="82"/>
      <c r="J27" s="82"/>
      <c r="K27" s="82"/>
      <c r="L27" s="82"/>
      <c r="M27" s="82"/>
      <c r="N27" s="82"/>
      <c r="O27" s="82"/>
      <c r="P27" s="82"/>
      <c r="Q27" s="82"/>
      <c r="R27" s="82"/>
      <c r="S27" s="82"/>
      <c r="T27" s="82"/>
      <c r="U27" s="82"/>
      <c r="V27" s="82"/>
      <c r="W27" s="82"/>
      <c r="X27" s="82"/>
      <c r="Y27" s="82"/>
      <c r="Z27" s="82"/>
      <c r="AA27" s="53"/>
      <c r="AB27" s="53"/>
      <c r="AC27" s="54"/>
    </row>
    <row r="28" spans="1:29" s="1" customFormat="1" ht="61.2" x14ac:dyDescent="1.1000000000000001">
      <c r="A28" s="60" t="s">
        <v>21</v>
      </c>
      <c r="B28" s="61"/>
      <c r="C28" s="63" t="s">
        <v>22</v>
      </c>
      <c r="E28" s="63"/>
      <c r="F28" s="63"/>
      <c r="G28" s="63"/>
      <c r="H28" s="63"/>
      <c r="I28" s="63"/>
      <c r="J28" s="63"/>
      <c r="K28" s="127"/>
      <c r="L28" s="127"/>
      <c r="M28" s="127"/>
      <c r="N28" s="127"/>
      <c r="O28" s="127"/>
      <c r="P28" s="63"/>
      <c r="Q28" s="128" t="s">
        <v>23</v>
      </c>
      <c r="R28" s="63"/>
      <c r="S28" s="63"/>
      <c r="T28" s="63"/>
      <c r="U28" s="63"/>
      <c r="V28" s="63"/>
      <c r="W28" s="63"/>
      <c r="X28" s="63"/>
      <c r="Y28" s="63"/>
      <c r="Z28" s="63"/>
      <c r="AA28" s="61"/>
      <c r="AB28" s="63" t="s">
        <v>127</v>
      </c>
      <c r="AC28" s="64"/>
    </row>
    <row r="29" spans="1:29" s="1" customFormat="1" ht="61.2" x14ac:dyDescent="1.1000000000000001">
      <c r="A29" s="60"/>
      <c r="B29" s="61"/>
      <c r="C29" s="63" t="s">
        <v>15</v>
      </c>
      <c r="E29" s="63"/>
      <c r="F29" s="63"/>
      <c r="G29" s="63"/>
      <c r="H29" s="63"/>
      <c r="I29" s="63"/>
      <c r="J29" s="63"/>
      <c r="K29" s="127"/>
      <c r="L29" s="127"/>
      <c r="M29" s="127"/>
      <c r="N29" s="127"/>
      <c r="O29" s="127"/>
      <c r="P29" s="63"/>
      <c r="Q29" s="128" t="s">
        <v>18</v>
      </c>
      <c r="R29" s="63"/>
      <c r="S29" s="63"/>
      <c r="T29" s="63"/>
      <c r="U29" s="63"/>
      <c r="V29" s="63"/>
      <c r="W29" s="63"/>
      <c r="X29" s="63"/>
      <c r="Y29" s="63"/>
      <c r="Z29" s="63"/>
      <c r="AA29" s="61"/>
      <c r="AB29" s="61"/>
      <c r="AC29" s="64"/>
    </row>
    <row r="30" spans="1:29" s="1" customFormat="1" ht="61.2" x14ac:dyDescent="1.1000000000000001">
      <c r="A30" s="60" t="s">
        <v>61</v>
      </c>
      <c r="B30" s="61" t="s">
        <v>243</v>
      </c>
      <c r="C30" s="127"/>
      <c r="E30" s="127"/>
      <c r="F30" s="127"/>
      <c r="G30" s="127"/>
      <c r="H30" s="127"/>
      <c r="I30" s="127"/>
      <c r="J30" s="127"/>
      <c r="K30" s="63"/>
      <c r="L30" s="63"/>
      <c r="M30" s="63"/>
      <c r="N30" s="63"/>
      <c r="O30" s="63"/>
      <c r="P30" s="63"/>
      <c r="Q30" s="128" t="s">
        <v>16</v>
      </c>
      <c r="R30" s="63"/>
      <c r="S30" s="63"/>
      <c r="T30" s="63"/>
      <c r="U30" s="63"/>
      <c r="V30" s="63"/>
      <c r="W30" s="63"/>
      <c r="X30" s="63"/>
      <c r="Y30" s="63"/>
      <c r="Z30" s="63"/>
      <c r="AA30" s="61"/>
      <c r="AB30" s="61"/>
      <c r="AC30" s="64"/>
    </row>
    <row r="31" spans="1:29" s="1" customFormat="1" ht="61.2" x14ac:dyDescent="1.1000000000000001">
      <c r="A31" s="60" t="s">
        <v>19</v>
      </c>
      <c r="B31" s="61"/>
      <c r="C31" s="63" t="s">
        <v>17</v>
      </c>
      <c r="E31" s="63"/>
      <c r="F31" s="63"/>
      <c r="G31" s="63"/>
      <c r="H31" s="63"/>
      <c r="I31" s="63"/>
      <c r="J31" s="63"/>
      <c r="K31" s="127"/>
      <c r="L31" s="127"/>
      <c r="M31" s="127"/>
      <c r="N31" s="127"/>
      <c r="O31" s="127"/>
      <c r="P31" s="63"/>
      <c r="Q31" s="128" t="s">
        <v>20</v>
      </c>
      <c r="R31" s="63"/>
      <c r="S31" s="63"/>
      <c r="T31" s="63"/>
      <c r="U31" s="63"/>
      <c r="V31" s="63"/>
      <c r="W31" s="63"/>
      <c r="X31" s="63"/>
      <c r="Y31" s="63"/>
      <c r="Z31" s="63"/>
      <c r="AA31" s="61"/>
      <c r="AB31" s="61"/>
      <c r="AC31" s="64"/>
    </row>
    <row r="32" spans="1:29" s="1" customFormat="1" ht="61.2" x14ac:dyDescent="1.1000000000000001">
      <c r="A32" s="60"/>
      <c r="B32" s="61"/>
      <c r="C32" s="61"/>
      <c r="D32" s="63"/>
      <c r="E32" s="63"/>
      <c r="F32" s="63"/>
      <c r="G32" s="63"/>
      <c r="H32" s="63"/>
      <c r="I32" s="63"/>
      <c r="J32" s="63"/>
      <c r="K32" s="63"/>
      <c r="L32" s="63"/>
      <c r="M32" s="63"/>
      <c r="N32" s="63"/>
      <c r="O32" s="63"/>
      <c r="P32" s="63"/>
      <c r="Q32" s="63"/>
      <c r="R32" s="63"/>
      <c r="S32" s="63"/>
      <c r="T32" s="63"/>
      <c r="U32" s="63"/>
      <c r="V32" s="63"/>
      <c r="W32" s="63"/>
      <c r="X32" s="63"/>
      <c r="Y32" s="63"/>
      <c r="Z32" s="63"/>
      <c r="AA32" s="61"/>
      <c r="AB32" s="61"/>
      <c r="AC32" s="64"/>
    </row>
    <row r="33" spans="1:29" ht="31.2" x14ac:dyDescent="0.6">
      <c r="A33" s="51"/>
      <c r="B33" s="52"/>
      <c r="C33" s="52"/>
      <c r="D33" s="82"/>
      <c r="E33" s="82"/>
      <c r="F33" s="82"/>
      <c r="G33" s="82"/>
      <c r="H33" s="82"/>
      <c r="I33" s="82"/>
      <c r="J33" s="82"/>
      <c r="K33" s="82"/>
      <c r="L33" s="82"/>
      <c r="M33" s="82"/>
      <c r="N33" s="82"/>
      <c r="O33" s="82"/>
      <c r="P33" s="82"/>
      <c r="Q33" s="82"/>
      <c r="R33" s="82"/>
      <c r="S33" s="82"/>
      <c r="T33" s="82"/>
      <c r="U33" s="82"/>
      <c r="V33" s="82"/>
      <c r="W33" s="82"/>
      <c r="X33" s="82"/>
      <c r="Y33" s="82"/>
      <c r="Z33" s="82"/>
      <c r="AA33" s="53"/>
      <c r="AB33" s="53"/>
      <c r="AC33" s="54"/>
    </row>
    <row r="34" spans="1:29" ht="31.8" thickBot="1" x14ac:dyDescent="0.65">
      <c r="A34" s="55"/>
      <c r="B34" s="56"/>
      <c r="C34" s="56"/>
      <c r="D34" s="83"/>
      <c r="E34" s="83"/>
      <c r="F34" s="83"/>
      <c r="G34" s="83"/>
      <c r="H34" s="83"/>
      <c r="I34" s="83"/>
      <c r="J34" s="83"/>
      <c r="K34" s="83"/>
      <c r="L34" s="83"/>
      <c r="M34" s="83"/>
      <c r="N34" s="83"/>
      <c r="O34" s="83"/>
      <c r="P34" s="83"/>
      <c r="Q34" s="83"/>
      <c r="R34" s="83"/>
      <c r="S34" s="83"/>
      <c r="T34" s="83"/>
      <c r="U34" s="83"/>
      <c r="V34" s="83"/>
      <c r="W34" s="83"/>
      <c r="X34" s="83"/>
      <c r="Y34" s="83"/>
      <c r="Z34" s="83"/>
      <c r="AA34" s="57"/>
      <c r="AB34" s="57"/>
      <c r="AC34" s="58"/>
    </row>
  </sheetData>
  <mergeCells count="7">
    <mergeCell ref="AA26:AB26"/>
    <mergeCell ref="B14:C14"/>
    <mergeCell ref="A3:AC3"/>
    <mergeCell ref="B13:C13"/>
    <mergeCell ref="Q4:X4"/>
    <mergeCell ref="Q5:X5"/>
    <mergeCell ref="Q6:X6"/>
  </mergeCells>
  <pageMargins left="0.2" right="0.45" top="0.25" bottom="0.25" header="0.3" footer="0.3"/>
  <pageSetup paperSize="9" scale="1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3"/>
  <sheetViews>
    <sheetView zoomScale="26" zoomScaleNormal="26" workbookViewId="0">
      <selection activeCell="D11" sqref="D11:Y11"/>
    </sheetView>
  </sheetViews>
  <sheetFormatPr defaultColWidth="9.33203125" defaultRowHeight="58.5" customHeight="1" x14ac:dyDescent="0.3"/>
  <cols>
    <col min="1" max="1" width="40.6640625" style="2" customWidth="1"/>
    <col min="2" max="2" width="153.6640625" style="3" customWidth="1"/>
    <col min="3" max="3" width="24.88671875" style="3" customWidth="1"/>
    <col min="4" max="25" width="19.5546875" style="84" customWidth="1"/>
    <col min="26" max="26" width="19" style="84" customWidth="1"/>
    <col min="27" max="27" width="34.6640625" style="2" customWidth="1"/>
    <col min="28" max="29" width="34.109375" style="2" customWidth="1"/>
    <col min="30" max="30" width="9.33203125" style="2" customWidth="1"/>
    <col min="31" max="16384" width="9.33203125" style="2"/>
  </cols>
  <sheetData>
    <row r="1" spans="1:29" ht="19.8" x14ac:dyDescent="0.3">
      <c r="A1" s="117"/>
      <c r="B1" s="118"/>
      <c r="C1" s="118"/>
      <c r="D1" s="119"/>
      <c r="E1" s="119"/>
      <c r="F1" s="119"/>
      <c r="G1" s="119"/>
      <c r="H1" s="119"/>
      <c r="I1" s="119"/>
      <c r="J1" s="119"/>
      <c r="K1" s="119"/>
      <c r="L1" s="119"/>
      <c r="M1" s="119"/>
      <c r="N1" s="119"/>
      <c r="O1" s="119"/>
      <c r="P1" s="119"/>
      <c r="Q1" s="119"/>
      <c r="R1" s="119"/>
      <c r="S1" s="119"/>
      <c r="T1" s="119"/>
      <c r="U1" s="119"/>
      <c r="V1" s="119"/>
      <c r="W1" s="119"/>
      <c r="X1" s="119"/>
      <c r="Y1" s="119"/>
      <c r="Z1" s="119"/>
      <c r="AA1" s="120"/>
      <c r="AB1" s="120"/>
      <c r="AC1" s="121"/>
    </row>
    <row r="2" spans="1:29" ht="85.2" customHeight="1" thickBot="1" x14ac:dyDescent="0.35">
      <c r="A2" s="122"/>
      <c r="B2" s="123"/>
      <c r="C2" s="123"/>
      <c r="D2" s="124"/>
      <c r="E2" s="124"/>
      <c r="F2" s="124"/>
      <c r="G2" s="124"/>
      <c r="H2" s="124"/>
      <c r="I2" s="124"/>
      <c r="J2" s="124"/>
      <c r="K2" s="124"/>
      <c r="L2" s="124"/>
      <c r="M2" s="124"/>
      <c r="N2" s="124"/>
      <c r="O2" s="124"/>
      <c r="P2" s="124"/>
      <c r="Q2" s="124"/>
      <c r="R2" s="124"/>
      <c r="S2" s="124"/>
      <c r="T2" s="124"/>
      <c r="U2" s="124"/>
      <c r="V2" s="124"/>
      <c r="W2" s="124"/>
      <c r="X2" s="124"/>
      <c r="Y2" s="124"/>
      <c r="Z2" s="124"/>
      <c r="AA2" s="125"/>
      <c r="AB2" s="125"/>
      <c r="AC2" s="126"/>
    </row>
    <row r="3" spans="1:29" s="6" customFormat="1" ht="134.4" customHeight="1" thickBot="1" x14ac:dyDescent="0.45">
      <c r="A3" s="267" t="s">
        <v>101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c r="AA3" s="268"/>
      <c r="AB3" s="268"/>
      <c r="AC3" s="269"/>
    </row>
    <row r="4" spans="1:29" ht="58.5" customHeight="1" x14ac:dyDescent="0.55000000000000004">
      <c r="A4" s="45"/>
      <c r="B4" s="46"/>
      <c r="C4" s="46"/>
      <c r="D4" s="78"/>
      <c r="E4" s="78"/>
      <c r="F4" s="78"/>
      <c r="G4" s="78"/>
      <c r="H4" s="78"/>
      <c r="I4" s="78"/>
      <c r="J4" s="78"/>
      <c r="K4" s="78"/>
      <c r="L4" s="78"/>
      <c r="M4" s="78"/>
      <c r="N4" s="78"/>
      <c r="O4" s="78"/>
      <c r="P4" s="78"/>
      <c r="Q4" s="78"/>
      <c r="R4" s="78"/>
      <c r="S4" s="270" t="s">
        <v>158</v>
      </c>
      <c r="T4" s="270"/>
      <c r="U4" s="270"/>
      <c r="V4" s="270"/>
      <c r="W4" s="270"/>
      <c r="X4" s="270"/>
      <c r="Y4" s="203"/>
      <c r="Z4" s="133"/>
      <c r="AA4" s="143"/>
      <c r="AB4" s="143"/>
      <c r="AC4" s="59"/>
    </row>
    <row r="5" spans="1:29" ht="46.2" x14ac:dyDescent="0.3">
      <c r="A5" s="65" t="s">
        <v>141</v>
      </c>
      <c r="B5" s="144"/>
      <c r="C5" s="144"/>
      <c r="D5" s="145"/>
      <c r="E5" s="145"/>
      <c r="F5" s="145"/>
      <c r="G5" s="145"/>
      <c r="H5" s="145"/>
      <c r="I5" s="145"/>
      <c r="J5" s="145"/>
      <c r="K5" s="145"/>
      <c r="L5" s="145"/>
      <c r="M5" s="145"/>
      <c r="N5" s="145"/>
      <c r="O5" s="145"/>
      <c r="P5" s="145"/>
      <c r="Q5" s="145"/>
      <c r="R5" s="145"/>
      <c r="S5" s="272" t="s">
        <v>165</v>
      </c>
      <c r="T5" s="272"/>
      <c r="U5" s="272"/>
      <c r="V5" s="272"/>
      <c r="W5" s="272"/>
      <c r="X5" s="272"/>
      <c r="Y5" s="201"/>
      <c r="Z5" s="145"/>
      <c r="AA5" s="143"/>
      <c r="AB5" s="143"/>
      <c r="AC5" s="59"/>
    </row>
    <row r="6" spans="1:29" ht="46.2" x14ac:dyDescent="0.3">
      <c r="A6" s="65" t="s">
        <v>105</v>
      </c>
      <c r="B6" s="144"/>
      <c r="C6" s="144"/>
      <c r="D6" s="145"/>
      <c r="E6" s="145"/>
      <c r="F6" s="145"/>
      <c r="G6" s="145"/>
      <c r="H6" s="145"/>
      <c r="I6" s="145"/>
      <c r="J6" s="145"/>
      <c r="K6" s="145"/>
      <c r="L6" s="145"/>
      <c r="M6" s="145"/>
      <c r="N6" s="145"/>
      <c r="O6" s="145"/>
      <c r="P6" s="145"/>
      <c r="Q6" s="145"/>
      <c r="R6" s="145"/>
      <c r="S6" s="272"/>
      <c r="T6" s="272"/>
      <c r="U6" s="272"/>
      <c r="V6" s="272"/>
      <c r="W6" s="272"/>
      <c r="X6" s="272"/>
      <c r="Y6" s="201"/>
      <c r="Z6" s="145"/>
      <c r="AA6" s="143"/>
      <c r="AB6" s="143"/>
      <c r="AC6" s="59"/>
    </row>
    <row r="7" spans="1:29" ht="46.2" x14ac:dyDescent="0.85">
      <c r="A7" s="66"/>
      <c r="B7" s="146"/>
      <c r="C7" s="146"/>
      <c r="D7" s="133"/>
      <c r="E7" s="133"/>
      <c r="F7" s="133"/>
      <c r="G7" s="133"/>
      <c r="H7" s="133"/>
      <c r="I7" s="133"/>
      <c r="J7" s="133"/>
      <c r="K7" s="133"/>
      <c r="L7" s="133"/>
      <c r="M7" s="133"/>
      <c r="N7" s="133"/>
      <c r="O7" s="133"/>
      <c r="P7" s="133"/>
      <c r="Q7" s="133"/>
      <c r="R7" s="116" t="s">
        <v>240</v>
      </c>
      <c r="S7" s="116"/>
      <c r="T7" s="116"/>
      <c r="U7" s="147"/>
      <c r="V7" s="147"/>
      <c r="W7" s="147"/>
      <c r="X7" s="147"/>
      <c r="Y7" s="147"/>
      <c r="Z7" s="133"/>
      <c r="AA7" s="143"/>
      <c r="AB7" s="143"/>
      <c r="AC7" s="59"/>
    </row>
    <row r="8" spans="1:29" ht="46.5" customHeight="1" x14ac:dyDescent="0.55000000000000004">
      <c r="A8" s="50"/>
      <c r="B8" s="148"/>
      <c r="C8" s="148"/>
      <c r="D8" s="133"/>
      <c r="E8" s="133"/>
      <c r="F8" s="133"/>
      <c r="G8" s="133"/>
      <c r="H8" s="133"/>
      <c r="I8" s="133"/>
      <c r="J8" s="133"/>
      <c r="K8" s="133"/>
      <c r="L8" s="133"/>
      <c r="M8" s="133"/>
      <c r="N8" s="133"/>
      <c r="O8" s="133"/>
      <c r="P8" s="133"/>
      <c r="Q8" s="133"/>
      <c r="R8" s="116" t="s">
        <v>241</v>
      </c>
      <c r="S8" s="116"/>
      <c r="T8" s="116"/>
      <c r="U8" s="147"/>
      <c r="V8" s="147"/>
      <c r="W8" s="147"/>
      <c r="X8" s="147"/>
      <c r="Y8" s="147"/>
      <c r="Z8" s="133"/>
      <c r="AA8" s="143"/>
      <c r="AB8" s="143"/>
      <c r="AC8" s="59"/>
    </row>
    <row r="9" spans="1:29" ht="28.5" customHeight="1" x14ac:dyDescent="0.55000000000000004">
      <c r="A9" s="50"/>
      <c r="B9" s="148"/>
      <c r="C9" s="148"/>
      <c r="D9" s="133"/>
      <c r="E9" s="133"/>
      <c r="F9" s="133"/>
      <c r="G9" s="133"/>
      <c r="H9" s="133"/>
      <c r="I9" s="133"/>
      <c r="J9" s="133"/>
      <c r="K9" s="133"/>
      <c r="L9" s="133"/>
      <c r="M9" s="133"/>
      <c r="N9" s="133"/>
      <c r="O9" s="133"/>
      <c r="P9" s="133"/>
      <c r="Q9" s="133"/>
      <c r="R9" s="80"/>
      <c r="S9" s="133"/>
      <c r="T9" s="133"/>
      <c r="U9" s="133"/>
      <c r="V9" s="133"/>
      <c r="W9" s="133"/>
      <c r="X9" s="133"/>
      <c r="Y9" s="133"/>
      <c r="Z9" s="133"/>
      <c r="AA9" s="148"/>
      <c r="AB9" s="148"/>
      <c r="AC9" s="48"/>
    </row>
    <row r="10" spans="1:29" ht="79.2" customHeight="1" thickBot="1" x14ac:dyDescent="0.45">
      <c r="A10" s="76"/>
      <c r="B10" s="149"/>
      <c r="C10" s="149"/>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41"/>
      <c r="AB10" s="142"/>
      <c r="AC10" s="40"/>
    </row>
    <row r="11" spans="1:29" s="4" customFormat="1" ht="49.95" customHeight="1" thickBot="1" x14ac:dyDescent="1.1499999999999999">
      <c r="A11" s="160"/>
      <c r="B11" s="161" t="s">
        <v>0</v>
      </c>
      <c r="C11" s="161"/>
      <c r="D11" s="214">
        <v>1</v>
      </c>
      <c r="E11" s="214">
        <v>2</v>
      </c>
      <c r="F11" s="214">
        <v>3</v>
      </c>
      <c r="G11" s="214">
        <v>4</v>
      </c>
      <c r="H11" s="214">
        <v>5</v>
      </c>
      <c r="I11" s="233">
        <v>6</v>
      </c>
      <c r="J11" s="233">
        <v>7</v>
      </c>
      <c r="K11" s="233">
        <v>8</v>
      </c>
      <c r="L11" s="233">
        <v>9</v>
      </c>
      <c r="M11" s="233">
        <v>10</v>
      </c>
      <c r="N11" s="233">
        <v>11</v>
      </c>
      <c r="O11" s="233">
        <v>12</v>
      </c>
      <c r="P11" s="233">
        <v>13</v>
      </c>
      <c r="Q11" s="233">
        <v>14</v>
      </c>
      <c r="R11" s="233">
        <v>15</v>
      </c>
      <c r="S11" s="233">
        <v>16</v>
      </c>
      <c r="T11" s="233">
        <v>17</v>
      </c>
      <c r="U11" s="233">
        <v>18</v>
      </c>
      <c r="V11" s="233">
        <v>19</v>
      </c>
      <c r="W11" s="233">
        <v>20</v>
      </c>
      <c r="X11" s="233">
        <v>21</v>
      </c>
      <c r="Y11" s="233">
        <v>22</v>
      </c>
      <c r="Z11" s="162"/>
      <c r="AA11" s="163"/>
      <c r="AB11" s="164"/>
      <c r="AC11" s="164"/>
    </row>
    <row r="12" spans="1:29" ht="408.6" customHeight="1" thickBot="1" x14ac:dyDescent="0.35">
      <c r="A12" s="165" t="s">
        <v>5</v>
      </c>
      <c r="B12" s="165" t="s">
        <v>1</v>
      </c>
      <c r="C12" s="165"/>
      <c r="D12" s="221" t="s">
        <v>167</v>
      </c>
      <c r="E12" s="221" t="s">
        <v>173</v>
      </c>
      <c r="F12" s="221" t="s">
        <v>176</v>
      </c>
      <c r="G12" s="221" t="s">
        <v>179</v>
      </c>
      <c r="H12" s="221" t="s">
        <v>182</v>
      </c>
      <c r="I12" s="221" t="s">
        <v>185</v>
      </c>
      <c r="J12" s="221" t="s">
        <v>189</v>
      </c>
      <c r="K12" s="221" t="s">
        <v>192</v>
      </c>
      <c r="L12" s="221" t="s">
        <v>195</v>
      </c>
      <c r="M12" s="221" t="s">
        <v>198</v>
      </c>
      <c r="N12" s="221" t="s">
        <v>201</v>
      </c>
      <c r="O12" s="221" t="s">
        <v>204</v>
      </c>
      <c r="P12" s="221" t="s">
        <v>207</v>
      </c>
      <c r="Q12" s="221" t="s">
        <v>210</v>
      </c>
      <c r="R12" s="221" t="s">
        <v>213</v>
      </c>
      <c r="S12" s="221" t="s">
        <v>216</v>
      </c>
      <c r="T12" s="221" t="s">
        <v>219</v>
      </c>
      <c r="U12" s="221" t="s">
        <v>222</v>
      </c>
      <c r="V12" s="221" t="s">
        <v>225</v>
      </c>
      <c r="W12" s="221" t="s">
        <v>228</v>
      </c>
      <c r="X12" s="221" t="s">
        <v>231</v>
      </c>
      <c r="Y12" s="221" t="s">
        <v>234</v>
      </c>
      <c r="Z12" s="166"/>
      <c r="AA12" s="167" t="s">
        <v>4</v>
      </c>
      <c r="AB12" s="168" t="s">
        <v>12</v>
      </c>
      <c r="AC12" s="169" t="s">
        <v>13</v>
      </c>
    </row>
    <row r="13" spans="1:29" ht="108.6" customHeight="1" thickBot="1" x14ac:dyDescent="0.35">
      <c r="A13" s="202"/>
      <c r="B13" s="266" t="s">
        <v>2</v>
      </c>
      <c r="C13" s="266"/>
      <c r="D13" s="206" t="s">
        <v>24</v>
      </c>
      <c r="E13" s="206" t="s">
        <v>24</v>
      </c>
      <c r="F13" s="206" t="s">
        <v>24</v>
      </c>
      <c r="G13" s="206" t="s">
        <v>24</v>
      </c>
      <c r="H13" s="206" t="s">
        <v>24</v>
      </c>
      <c r="I13" s="206" t="s">
        <v>24</v>
      </c>
      <c r="J13" s="206" t="s">
        <v>24</v>
      </c>
      <c r="K13" s="206" t="s">
        <v>24</v>
      </c>
      <c r="L13" s="206" t="s">
        <v>24</v>
      </c>
      <c r="M13" s="206" t="s">
        <v>24</v>
      </c>
      <c r="N13" s="206" t="s">
        <v>24</v>
      </c>
      <c r="O13" s="206" t="s">
        <v>24</v>
      </c>
      <c r="P13" s="206" t="s">
        <v>24</v>
      </c>
      <c r="Q13" s="206" t="s">
        <v>24</v>
      </c>
      <c r="R13" s="206" t="s">
        <v>24</v>
      </c>
      <c r="S13" s="206" t="s">
        <v>24</v>
      </c>
      <c r="T13" s="206" t="s">
        <v>24</v>
      </c>
      <c r="U13" s="206" t="s">
        <v>24</v>
      </c>
      <c r="V13" s="206" t="s">
        <v>24</v>
      </c>
      <c r="W13" s="206" t="s">
        <v>24</v>
      </c>
      <c r="X13" s="206" t="s">
        <v>24</v>
      </c>
      <c r="Y13" s="206" t="s">
        <v>24</v>
      </c>
      <c r="Z13" s="170"/>
      <c r="AA13" s="171"/>
      <c r="AB13" s="172"/>
      <c r="AC13" s="173"/>
    </row>
    <row r="14" spans="1:29" ht="82.2" customHeight="1" thickBot="1" x14ac:dyDescent="0.35">
      <c r="A14" s="202"/>
      <c r="B14" s="266" t="s">
        <v>3</v>
      </c>
      <c r="C14" s="266"/>
      <c r="D14" s="216">
        <v>1</v>
      </c>
      <c r="E14" s="216">
        <v>1</v>
      </c>
      <c r="F14" s="216">
        <v>1</v>
      </c>
      <c r="G14" s="216">
        <v>1</v>
      </c>
      <c r="H14" s="216">
        <v>1</v>
      </c>
      <c r="I14" s="216">
        <v>1</v>
      </c>
      <c r="J14" s="216">
        <v>1</v>
      </c>
      <c r="K14" s="216">
        <v>1</v>
      </c>
      <c r="L14" s="216">
        <v>2</v>
      </c>
      <c r="M14" s="216">
        <v>3</v>
      </c>
      <c r="N14" s="216">
        <v>1</v>
      </c>
      <c r="O14" s="216">
        <v>1</v>
      </c>
      <c r="P14" s="216">
        <v>1</v>
      </c>
      <c r="Q14" s="216">
        <v>1</v>
      </c>
      <c r="R14" s="216">
        <v>1</v>
      </c>
      <c r="S14" s="216">
        <v>1</v>
      </c>
      <c r="T14" s="216">
        <v>2</v>
      </c>
      <c r="U14" s="216">
        <v>1</v>
      </c>
      <c r="V14" s="216">
        <v>1</v>
      </c>
      <c r="W14" s="216">
        <v>1</v>
      </c>
      <c r="X14" s="216">
        <v>1</v>
      </c>
      <c r="Y14" s="216">
        <v>1</v>
      </c>
      <c r="Z14" s="172"/>
      <c r="AA14" s="171">
        <f>SUM(D14:Y14)</f>
        <v>26</v>
      </c>
      <c r="AB14" s="172"/>
      <c r="AC14" s="162"/>
    </row>
    <row r="15" spans="1:29" ht="104.25" customHeight="1" thickBot="1" x14ac:dyDescent="1">
      <c r="A15" s="175" t="s">
        <v>112</v>
      </c>
      <c r="B15" s="176" t="s">
        <v>62</v>
      </c>
      <c r="C15" s="177" t="s">
        <v>63</v>
      </c>
      <c r="D15" s="178"/>
      <c r="E15" s="178"/>
      <c r="F15" s="178"/>
      <c r="G15" s="178"/>
      <c r="H15" s="178"/>
      <c r="I15" s="178"/>
      <c r="J15" s="178"/>
      <c r="K15" s="178"/>
      <c r="L15" s="178"/>
      <c r="M15" s="178"/>
      <c r="N15" s="178"/>
      <c r="O15" s="178"/>
      <c r="P15" s="178"/>
      <c r="Q15" s="178"/>
      <c r="R15" s="178"/>
      <c r="S15" s="178"/>
      <c r="T15" s="178"/>
      <c r="U15" s="178"/>
      <c r="V15" s="178"/>
      <c r="W15" s="178"/>
      <c r="X15" s="178"/>
      <c r="Y15" s="178"/>
      <c r="Z15" s="179"/>
      <c r="AA15" s="180"/>
      <c r="AB15" s="180"/>
      <c r="AC15" s="181"/>
    </row>
    <row r="16" spans="1:29" ht="64.95" customHeight="1" thickBot="1" x14ac:dyDescent="0.35">
      <c r="A16" s="183">
        <v>3367489</v>
      </c>
      <c r="B16" s="182" t="s">
        <v>110</v>
      </c>
      <c r="C16" s="183" t="s">
        <v>64</v>
      </c>
      <c r="D16" s="222">
        <v>1</v>
      </c>
      <c r="E16" s="222">
        <v>1</v>
      </c>
      <c r="F16" s="222">
        <v>1</v>
      </c>
      <c r="G16" s="222">
        <v>1</v>
      </c>
      <c r="H16" s="222">
        <v>1</v>
      </c>
      <c r="I16" s="222">
        <v>1</v>
      </c>
      <c r="J16" s="222">
        <v>1</v>
      </c>
      <c r="K16" s="222">
        <v>1</v>
      </c>
      <c r="L16" s="222">
        <v>2</v>
      </c>
      <c r="M16" s="222">
        <v>3</v>
      </c>
      <c r="N16" s="222">
        <v>1</v>
      </c>
      <c r="O16" s="222">
        <v>1</v>
      </c>
      <c r="P16" s="222">
        <v>1</v>
      </c>
      <c r="Q16" s="222">
        <v>1</v>
      </c>
      <c r="R16" s="222">
        <v>1</v>
      </c>
      <c r="S16" s="222">
        <v>1</v>
      </c>
      <c r="T16" s="222">
        <v>2</v>
      </c>
      <c r="U16" s="222">
        <v>1</v>
      </c>
      <c r="V16" s="222">
        <v>1</v>
      </c>
      <c r="W16" s="222">
        <v>1</v>
      </c>
      <c r="X16" s="222">
        <v>1</v>
      </c>
      <c r="Y16" s="222">
        <v>1</v>
      </c>
      <c r="Z16" s="184"/>
      <c r="AA16" s="171">
        <f>SUM(D16:Y16)</f>
        <v>26</v>
      </c>
      <c r="AB16" s="171">
        <v>200</v>
      </c>
      <c r="AC16" s="185">
        <f>AA16*AB16</f>
        <v>5200</v>
      </c>
    </row>
    <row r="17" spans="1:29" ht="64.95" customHeight="1" thickBot="1" x14ac:dyDescent="0.35">
      <c r="A17" s="183">
        <v>3367548</v>
      </c>
      <c r="B17" s="182" t="s">
        <v>129</v>
      </c>
      <c r="C17" s="183" t="s">
        <v>109</v>
      </c>
      <c r="D17" s="223">
        <v>5</v>
      </c>
      <c r="E17" s="223">
        <v>5</v>
      </c>
      <c r="F17" s="223">
        <v>5</v>
      </c>
      <c r="G17" s="223">
        <v>5</v>
      </c>
      <c r="H17" s="223">
        <v>5</v>
      </c>
      <c r="I17" s="223">
        <v>5</v>
      </c>
      <c r="J17" s="222">
        <v>50</v>
      </c>
      <c r="K17" s="223">
        <v>5</v>
      </c>
      <c r="L17" s="223">
        <v>10</v>
      </c>
      <c r="M17" s="223">
        <v>60</v>
      </c>
      <c r="N17" s="223">
        <v>5</v>
      </c>
      <c r="O17" s="223">
        <v>50</v>
      </c>
      <c r="P17" s="223">
        <v>5</v>
      </c>
      <c r="Q17" s="222">
        <v>5</v>
      </c>
      <c r="R17" s="223">
        <v>5</v>
      </c>
      <c r="S17" s="223">
        <v>5</v>
      </c>
      <c r="T17" s="223">
        <v>100</v>
      </c>
      <c r="U17" s="223">
        <v>5</v>
      </c>
      <c r="V17" s="223">
        <v>50</v>
      </c>
      <c r="W17" s="223">
        <v>5</v>
      </c>
      <c r="X17" s="223">
        <v>50</v>
      </c>
      <c r="Y17" s="223">
        <v>50</v>
      </c>
      <c r="Z17" s="184"/>
      <c r="AA17" s="171">
        <f>SUM(D17:Y17)</f>
        <v>490</v>
      </c>
      <c r="AB17" s="171">
        <v>5</v>
      </c>
      <c r="AC17" s="185">
        <f t="shared" ref="AC17:AC25" si="0">AA17*AB17</f>
        <v>2450</v>
      </c>
    </row>
    <row r="18" spans="1:29" ht="64.95" customHeight="1" thickBot="1" x14ac:dyDescent="0.35">
      <c r="A18" s="183">
        <v>3137158</v>
      </c>
      <c r="B18" s="182" t="s">
        <v>130</v>
      </c>
      <c r="C18" s="183" t="s">
        <v>109</v>
      </c>
      <c r="D18" s="223">
        <v>50</v>
      </c>
      <c r="E18" s="223">
        <v>50</v>
      </c>
      <c r="F18" s="223">
        <v>50</v>
      </c>
      <c r="G18" s="223">
        <v>50</v>
      </c>
      <c r="H18" s="223">
        <v>50</v>
      </c>
      <c r="I18" s="223">
        <v>50</v>
      </c>
      <c r="J18" s="222">
        <v>50</v>
      </c>
      <c r="K18" s="223">
        <v>50</v>
      </c>
      <c r="L18" s="223">
        <v>100</v>
      </c>
      <c r="M18" s="223">
        <v>150</v>
      </c>
      <c r="N18" s="223">
        <v>50</v>
      </c>
      <c r="O18" s="223">
        <v>50</v>
      </c>
      <c r="P18" s="223">
        <v>50</v>
      </c>
      <c r="Q18" s="222">
        <v>50</v>
      </c>
      <c r="R18" s="223">
        <v>50</v>
      </c>
      <c r="S18" s="223">
        <v>50</v>
      </c>
      <c r="T18" s="223">
        <v>100</v>
      </c>
      <c r="U18" s="223">
        <v>50</v>
      </c>
      <c r="V18" s="223">
        <v>50</v>
      </c>
      <c r="W18" s="223">
        <v>50</v>
      </c>
      <c r="X18" s="223">
        <v>50</v>
      </c>
      <c r="Y18" s="223">
        <v>50</v>
      </c>
      <c r="Z18" s="184"/>
      <c r="AA18" s="171">
        <f>SUM(D18:Y18)</f>
        <v>1300</v>
      </c>
      <c r="AB18" s="171">
        <v>12</v>
      </c>
      <c r="AC18" s="185">
        <f t="shared" si="0"/>
        <v>15600</v>
      </c>
    </row>
    <row r="19" spans="1:29" s="90" customFormat="1" ht="129.6" customHeight="1" thickBot="1" x14ac:dyDescent="0.35">
      <c r="A19" s="183">
        <v>3397253</v>
      </c>
      <c r="B19" s="182" t="s">
        <v>106</v>
      </c>
      <c r="C19" s="183" t="s">
        <v>99</v>
      </c>
      <c r="D19" s="224">
        <v>14</v>
      </c>
      <c r="E19" s="224">
        <v>126</v>
      </c>
      <c r="F19" s="224">
        <v>35</v>
      </c>
      <c r="G19" s="224">
        <v>5</v>
      </c>
      <c r="H19" s="224">
        <v>62</v>
      </c>
      <c r="I19" s="224">
        <v>167</v>
      </c>
      <c r="J19" s="174">
        <v>30</v>
      </c>
      <c r="K19" s="224">
        <v>114</v>
      </c>
      <c r="L19" s="224">
        <v>8</v>
      </c>
      <c r="M19" s="224">
        <v>40</v>
      </c>
      <c r="N19" s="224">
        <v>168</v>
      </c>
      <c r="O19" s="224">
        <v>21</v>
      </c>
      <c r="P19" s="224">
        <v>20</v>
      </c>
      <c r="Q19" s="224">
        <v>71</v>
      </c>
      <c r="R19" s="224">
        <v>21</v>
      </c>
      <c r="S19" s="224">
        <v>55</v>
      </c>
      <c r="T19" s="224">
        <v>185</v>
      </c>
      <c r="U19" s="224">
        <v>18</v>
      </c>
      <c r="V19" s="224">
        <v>31</v>
      </c>
      <c r="W19" s="224">
        <v>184</v>
      </c>
      <c r="X19" s="224">
        <v>28</v>
      </c>
      <c r="Y19" s="224">
        <v>15</v>
      </c>
      <c r="Z19" s="184"/>
      <c r="AA19" s="171">
        <f>SUM(D19:Y19)</f>
        <v>1418</v>
      </c>
      <c r="AB19" s="171">
        <v>20</v>
      </c>
      <c r="AC19" s="185">
        <f t="shared" si="0"/>
        <v>28360</v>
      </c>
    </row>
    <row r="20" spans="1:29" ht="64.95" customHeight="1" thickBot="1" x14ac:dyDescent="0.35">
      <c r="A20" s="183">
        <v>3397271</v>
      </c>
      <c r="B20" s="182" t="s">
        <v>128</v>
      </c>
      <c r="C20" s="183" t="s">
        <v>64</v>
      </c>
      <c r="D20" s="174">
        <v>1</v>
      </c>
      <c r="E20" s="174">
        <v>1</v>
      </c>
      <c r="F20" s="174">
        <v>1</v>
      </c>
      <c r="G20" s="174">
        <v>1</v>
      </c>
      <c r="H20" s="174">
        <v>1</v>
      </c>
      <c r="I20" s="174">
        <v>1</v>
      </c>
      <c r="J20" s="174">
        <v>1</v>
      </c>
      <c r="K20" s="174">
        <v>1</v>
      </c>
      <c r="L20" s="174">
        <v>1</v>
      </c>
      <c r="M20" s="174">
        <v>1</v>
      </c>
      <c r="N20" s="174">
        <v>1</v>
      </c>
      <c r="O20" s="174">
        <v>1</v>
      </c>
      <c r="P20" s="174">
        <v>1</v>
      </c>
      <c r="Q20" s="174">
        <v>1</v>
      </c>
      <c r="R20" s="174">
        <v>1</v>
      </c>
      <c r="S20" s="174">
        <v>1</v>
      </c>
      <c r="T20" s="174">
        <v>1</v>
      </c>
      <c r="U20" s="174">
        <v>1</v>
      </c>
      <c r="V20" s="174">
        <v>1</v>
      </c>
      <c r="W20" s="174">
        <v>1</v>
      </c>
      <c r="X20" s="174">
        <v>1</v>
      </c>
      <c r="Y20" s="174">
        <v>1</v>
      </c>
      <c r="Z20" s="184"/>
      <c r="AA20" s="171">
        <f>SUM(D20:Y20)</f>
        <v>22</v>
      </c>
      <c r="AB20" s="171">
        <v>1500</v>
      </c>
      <c r="AC20" s="185">
        <f t="shared" si="0"/>
        <v>33000</v>
      </c>
    </row>
    <row r="21" spans="1:29" ht="64.95" customHeight="1" thickBot="1" x14ac:dyDescent="0.35">
      <c r="A21" s="183">
        <v>3367713</v>
      </c>
      <c r="B21" s="182" t="s">
        <v>107</v>
      </c>
      <c r="C21" s="183" t="s">
        <v>64</v>
      </c>
      <c r="D21" s="174">
        <v>1</v>
      </c>
      <c r="E21" s="174">
        <v>1</v>
      </c>
      <c r="F21" s="174">
        <v>1</v>
      </c>
      <c r="G21" s="174">
        <v>1</v>
      </c>
      <c r="H21" s="174">
        <v>1</v>
      </c>
      <c r="I21" s="174">
        <v>1</v>
      </c>
      <c r="J21" s="174">
        <v>1</v>
      </c>
      <c r="K21" s="174">
        <v>1</v>
      </c>
      <c r="L21" s="174">
        <v>1</v>
      </c>
      <c r="M21" s="174">
        <v>1</v>
      </c>
      <c r="N21" s="174">
        <v>1</v>
      </c>
      <c r="O21" s="174">
        <v>1</v>
      </c>
      <c r="P21" s="174">
        <v>1</v>
      </c>
      <c r="Q21" s="174">
        <v>1</v>
      </c>
      <c r="R21" s="174">
        <v>1</v>
      </c>
      <c r="S21" s="174">
        <v>1</v>
      </c>
      <c r="T21" s="174">
        <v>1</v>
      </c>
      <c r="U21" s="174">
        <v>1</v>
      </c>
      <c r="V21" s="174">
        <v>1</v>
      </c>
      <c r="W21" s="174">
        <v>1</v>
      </c>
      <c r="X21" s="174">
        <v>1</v>
      </c>
      <c r="Y21" s="174">
        <v>1</v>
      </c>
      <c r="Z21" s="184"/>
      <c r="AA21" s="171">
        <f>SUM(D21:Y21)</f>
        <v>22</v>
      </c>
      <c r="AB21" s="171">
        <v>700</v>
      </c>
      <c r="AC21" s="185">
        <f t="shared" si="0"/>
        <v>15400</v>
      </c>
    </row>
    <row r="22" spans="1:29" ht="64.95" customHeight="1" thickBot="1" x14ac:dyDescent="0.35">
      <c r="A22" s="183">
        <v>3367739</v>
      </c>
      <c r="B22" s="182" t="s">
        <v>108</v>
      </c>
      <c r="C22" s="183" t="s">
        <v>64</v>
      </c>
      <c r="D22" s="174">
        <v>1</v>
      </c>
      <c r="E22" s="174">
        <v>1</v>
      </c>
      <c r="F22" s="174">
        <v>1</v>
      </c>
      <c r="G22" s="174">
        <v>1</v>
      </c>
      <c r="H22" s="174">
        <v>1</v>
      </c>
      <c r="I22" s="174">
        <v>1</v>
      </c>
      <c r="J22" s="174">
        <v>1</v>
      </c>
      <c r="K22" s="174">
        <v>1</v>
      </c>
      <c r="L22" s="174">
        <v>1</v>
      </c>
      <c r="M22" s="174">
        <v>1</v>
      </c>
      <c r="N22" s="174">
        <v>1</v>
      </c>
      <c r="O22" s="174">
        <v>1</v>
      </c>
      <c r="P22" s="174">
        <v>1</v>
      </c>
      <c r="Q22" s="174">
        <v>1</v>
      </c>
      <c r="R22" s="174">
        <v>1</v>
      </c>
      <c r="S22" s="174">
        <v>1</v>
      </c>
      <c r="T22" s="174">
        <v>1</v>
      </c>
      <c r="U22" s="174">
        <v>1</v>
      </c>
      <c r="V22" s="174">
        <v>1</v>
      </c>
      <c r="W22" s="174">
        <v>1</v>
      </c>
      <c r="X22" s="174">
        <v>1</v>
      </c>
      <c r="Y22" s="174">
        <v>1</v>
      </c>
      <c r="Z22" s="184"/>
      <c r="AA22" s="171">
        <f>SUM(D22:Y22)</f>
        <v>22</v>
      </c>
      <c r="AB22" s="171">
        <v>700</v>
      </c>
      <c r="AC22" s="185">
        <f t="shared" si="0"/>
        <v>15400</v>
      </c>
    </row>
    <row r="23" spans="1:29" ht="64.95" customHeight="1" thickBot="1" x14ac:dyDescent="0.35">
      <c r="A23" s="183">
        <v>3317347</v>
      </c>
      <c r="B23" s="182" t="s">
        <v>111</v>
      </c>
      <c r="C23" s="183" t="s">
        <v>109</v>
      </c>
      <c r="D23" s="174">
        <f>D16*2</f>
        <v>2</v>
      </c>
      <c r="E23" s="174">
        <f t="shared" ref="E23:Y23" si="1">E16*2</f>
        <v>2</v>
      </c>
      <c r="F23" s="174">
        <f t="shared" si="1"/>
        <v>2</v>
      </c>
      <c r="G23" s="174">
        <f t="shared" si="1"/>
        <v>2</v>
      </c>
      <c r="H23" s="174">
        <f t="shared" si="1"/>
        <v>2</v>
      </c>
      <c r="I23" s="174">
        <f t="shared" si="1"/>
        <v>2</v>
      </c>
      <c r="J23" s="174">
        <f t="shared" si="1"/>
        <v>2</v>
      </c>
      <c r="K23" s="174">
        <f t="shared" si="1"/>
        <v>2</v>
      </c>
      <c r="L23" s="174">
        <f t="shared" si="1"/>
        <v>4</v>
      </c>
      <c r="M23" s="174">
        <f t="shared" si="1"/>
        <v>6</v>
      </c>
      <c r="N23" s="174">
        <f t="shared" si="1"/>
        <v>2</v>
      </c>
      <c r="O23" s="174">
        <f t="shared" si="1"/>
        <v>2</v>
      </c>
      <c r="P23" s="174">
        <f t="shared" si="1"/>
        <v>2</v>
      </c>
      <c r="Q23" s="174">
        <f t="shared" si="1"/>
        <v>2</v>
      </c>
      <c r="R23" s="174">
        <f t="shared" si="1"/>
        <v>2</v>
      </c>
      <c r="S23" s="174">
        <f t="shared" si="1"/>
        <v>2</v>
      </c>
      <c r="T23" s="174">
        <f t="shared" si="1"/>
        <v>4</v>
      </c>
      <c r="U23" s="174">
        <f t="shared" si="1"/>
        <v>2</v>
      </c>
      <c r="V23" s="174">
        <f t="shared" si="1"/>
        <v>2</v>
      </c>
      <c r="W23" s="174">
        <f t="shared" si="1"/>
        <v>2</v>
      </c>
      <c r="X23" s="174">
        <f t="shared" si="1"/>
        <v>2</v>
      </c>
      <c r="Y23" s="174">
        <f t="shared" si="1"/>
        <v>2</v>
      </c>
      <c r="Z23" s="184"/>
      <c r="AA23" s="171">
        <f>SUM(D23:Y23)</f>
        <v>52</v>
      </c>
      <c r="AB23" s="171">
        <v>68</v>
      </c>
      <c r="AC23" s="185">
        <f t="shared" si="0"/>
        <v>3536</v>
      </c>
    </row>
    <row r="24" spans="1:29" ht="64.95" customHeight="1" thickBot="1" x14ac:dyDescent="0.35">
      <c r="A24" s="205">
        <v>3383067</v>
      </c>
      <c r="B24" s="186" t="s">
        <v>145</v>
      </c>
      <c r="C24" s="183" t="s">
        <v>64</v>
      </c>
      <c r="D24" s="174">
        <v>1</v>
      </c>
      <c r="E24" s="174">
        <v>0</v>
      </c>
      <c r="F24" s="174">
        <v>1</v>
      </c>
      <c r="G24" s="174">
        <v>0</v>
      </c>
      <c r="H24" s="174">
        <v>1</v>
      </c>
      <c r="I24" s="174">
        <v>1</v>
      </c>
      <c r="J24" s="174">
        <v>0</v>
      </c>
      <c r="K24" s="174">
        <v>1</v>
      </c>
      <c r="L24" s="174">
        <v>0</v>
      </c>
      <c r="M24" s="174">
        <v>1</v>
      </c>
      <c r="N24" s="174">
        <v>0</v>
      </c>
      <c r="O24" s="174">
        <v>1</v>
      </c>
      <c r="P24" s="174">
        <v>1</v>
      </c>
      <c r="Q24" s="174">
        <v>0</v>
      </c>
      <c r="R24" s="174">
        <v>1</v>
      </c>
      <c r="S24" s="174">
        <v>0</v>
      </c>
      <c r="T24" s="174">
        <v>1</v>
      </c>
      <c r="U24" s="174">
        <v>0</v>
      </c>
      <c r="V24" s="174">
        <v>1</v>
      </c>
      <c r="W24" s="174">
        <v>0</v>
      </c>
      <c r="X24" s="174">
        <v>1</v>
      </c>
      <c r="Y24" s="174">
        <v>0</v>
      </c>
      <c r="Z24" s="184"/>
      <c r="AA24" s="171">
        <f>SUM(D24:Y24)</f>
        <v>12</v>
      </c>
      <c r="AB24" s="171">
        <v>330</v>
      </c>
      <c r="AC24" s="185">
        <f t="shared" si="0"/>
        <v>3960</v>
      </c>
    </row>
    <row r="25" spans="1:29" ht="64.95" customHeight="1" thickBot="1" x14ac:dyDescent="0.35">
      <c r="A25" s="183">
        <v>3269867</v>
      </c>
      <c r="B25" s="182" t="s">
        <v>147</v>
      </c>
      <c r="C25" s="187" t="s">
        <v>109</v>
      </c>
      <c r="D25" s="174">
        <f t="shared" ref="D25:Y25" si="2">D16*2</f>
        <v>2</v>
      </c>
      <c r="E25" s="174">
        <f t="shared" si="2"/>
        <v>2</v>
      </c>
      <c r="F25" s="174">
        <f t="shared" si="2"/>
        <v>2</v>
      </c>
      <c r="G25" s="174">
        <f t="shared" si="2"/>
        <v>2</v>
      </c>
      <c r="H25" s="174">
        <f t="shared" si="2"/>
        <v>2</v>
      </c>
      <c r="I25" s="174">
        <f t="shared" si="2"/>
        <v>2</v>
      </c>
      <c r="J25" s="174">
        <f t="shared" si="2"/>
        <v>2</v>
      </c>
      <c r="K25" s="174">
        <f t="shared" si="2"/>
        <v>2</v>
      </c>
      <c r="L25" s="174">
        <f t="shared" si="2"/>
        <v>4</v>
      </c>
      <c r="M25" s="174">
        <f t="shared" si="2"/>
        <v>6</v>
      </c>
      <c r="N25" s="174">
        <f t="shared" si="2"/>
        <v>2</v>
      </c>
      <c r="O25" s="174">
        <f t="shared" si="2"/>
        <v>2</v>
      </c>
      <c r="P25" s="174">
        <f t="shared" si="2"/>
        <v>2</v>
      </c>
      <c r="Q25" s="174">
        <f t="shared" si="2"/>
        <v>2</v>
      </c>
      <c r="R25" s="174">
        <f t="shared" si="2"/>
        <v>2</v>
      </c>
      <c r="S25" s="174">
        <f t="shared" si="2"/>
        <v>2</v>
      </c>
      <c r="T25" s="174">
        <f t="shared" si="2"/>
        <v>4</v>
      </c>
      <c r="U25" s="174">
        <f t="shared" si="2"/>
        <v>2</v>
      </c>
      <c r="V25" s="174">
        <f t="shared" si="2"/>
        <v>2</v>
      </c>
      <c r="W25" s="174">
        <f t="shared" si="2"/>
        <v>2</v>
      </c>
      <c r="X25" s="174">
        <f t="shared" si="2"/>
        <v>2</v>
      </c>
      <c r="Y25" s="174">
        <f t="shared" si="2"/>
        <v>2</v>
      </c>
      <c r="Z25" s="184"/>
      <c r="AA25" s="171">
        <f>SUM(D25:Y25)</f>
        <v>52</v>
      </c>
      <c r="AB25" s="171">
        <v>40</v>
      </c>
      <c r="AC25" s="185">
        <f t="shared" si="0"/>
        <v>2080</v>
      </c>
    </row>
    <row r="26" spans="1:29" ht="103.95" customHeight="1" thickBot="1" x14ac:dyDescent="0.65">
      <c r="A26" s="188"/>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c r="Z26" s="188"/>
      <c r="AA26" s="265" t="s">
        <v>146</v>
      </c>
      <c r="AB26" s="265"/>
      <c r="AC26" s="189">
        <f>SUM(AC16:AC25)</f>
        <v>124986</v>
      </c>
    </row>
    <row r="27" spans="1:29" s="1" customFormat="1" ht="61.2" x14ac:dyDescent="1.1000000000000001">
      <c r="A27" s="60" t="s">
        <v>21</v>
      </c>
      <c r="B27" s="61"/>
      <c r="C27" s="63" t="s">
        <v>22</v>
      </c>
      <c r="G27" s="127"/>
      <c r="H27" s="127"/>
      <c r="I27" s="127"/>
      <c r="J27" s="127"/>
      <c r="K27" s="127"/>
      <c r="L27" s="127"/>
      <c r="M27" s="127"/>
      <c r="N27" s="128" t="s">
        <v>23</v>
      </c>
      <c r="O27" s="128"/>
      <c r="P27" s="127"/>
      <c r="Q27" s="127"/>
      <c r="R27" s="63"/>
      <c r="S27" s="128"/>
      <c r="T27" s="128"/>
      <c r="U27" s="128"/>
      <c r="V27" s="128"/>
      <c r="W27" s="128"/>
      <c r="X27" s="128" t="s">
        <v>23</v>
      </c>
      <c r="Y27" s="128"/>
      <c r="Z27" s="63"/>
      <c r="AA27" s="61"/>
      <c r="AB27" s="63" t="s">
        <v>127</v>
      </c>
      <c r="AC27" s="64"/>
    </row>
    <row r="28" spans="1:29" s="1" customFormat="1" ht="61.2" x14ac:dyDescent="1.1000000000000001">
      <c r="A28" s="60"/>
      <c r="B28" s="61"/>
      <c r="C28" s="63" t="s">
        <v>15</v>
      </c>
      <c r="G28" s="127"/>
      <c r="H28" s="127"/>
      <c r="I28" s="127"/>
      <c r="J28" s="127"/>
      <c r="K28" s="127"/>
      <c r="L28" s="127"/>
      <c r="M28" s="127"/>
      <c r="N28" s="128" t="s">
        <v>18</v>
      </c>
      <c r="O28" s="128"/>
      <c r="P28" s="127"/>
      <c r="Q28" s="127"/>
      <c r="R28" s="63"/>
      <c r="S28" s="128"/>
      <c r="T28" s="128"/>
      <c r="U28" s="128"/>
      <c r="V28" s="128"/>
      <c r="W28" s="128"/>
      <c r="X28" s="61" t="s">
        <v>148</v>
      </c>
      <c r="Y28" s="61"/>
      <c r="Z28" s="63"/>
      <c r="AA28" s="61"/>
      <c r="AB28" s="61"/>
      <c r="AC28" s="64"/>
    </row>
    <row r="29" spans="1:29" s="1" customFormat="1" ht="61.2" x14ac:dyDescent="1.1000000000000001">
      <c r="A29" s="60" t="s">
        <v>61</v>
      </c>
      <c r="B29" s="61" t="s">
        <v>244</v>
      </c>
      <c r="C29" s="127"/>
      <c r="G29" s="63"/>
      <c r="H29" s="63"/>
      <c r="I29" s="63"/>
      <c r="J29" s="63"/>
      <c r="K29" s="63"/>
      <c r="L29" s="63"/>
      <c r="M29" s="63"/>
      <c r="N29" s="128" t="s">
        <v>16</v>
      </c>
      <c r="O29" s="128"/>
      <c r="P29" s="63"/>
      <c r="Q29" s="63"/>
      <c r="R29" s="63"/>
      <c r="S29" s="128"/>
      <c r="T29" s="128"/>
      <c r="U29" s="128"/>
      <c r="V29" s="128"/>
      <c r="W29" s="128"/>
      <c r="X29" s="128" t="s">
        <v>149</v>
      </c>
      <c r="Y29" s="128"/>
      <c r="Z29" s="63"/>
      <c r="AA29" s="61"/>
      <c r="AB29" s="61"/>
      <c r="AC29" s="64"/>
    </row>
    <row r="30" spans="1:29" s="1" customFormat="1" ht="61.2" x14ac:dyDescent="1.1000000000000001">
      <c r="A30" s="60" t="s">
        <v>19</v>
      </c>
      <c r="B30" s="61"/>
      <c r="C30" s="63" t="s">
        <v>17</v>
      </c>
      <c r="G30" s="127"/>
      <c r="H30" s="127"/>
      <c r="I30" s="127"/>
      <c r="J30" s="127"/>
      <c r="K30" s="127"/>
      <c r="L30" s="127"/>
      <c r="M30" s="127"/>
      <c r="N30" s="128" t="s">
        <v>20</v>
      </c>
      <c r="O30" s="128"/>
      <c r="P30" s="127"/>
      <c r="Q30" s="127"/>
      <c r="R30" s="63"/>
      <c r="S30" s="128"/>
      <c r="T30" s="128"/>
      <c r="U30" s="128"/>
      <c r="V30" s="128"/>
      <c r="W30" s="128"/>
      <c r="X30" s="128" t="s">
        <v>20</v>
      </c>
      <c r="Y30" s="128"/>
      <c r="Z30" s="63"/>
      <c r="AA30" s="61"/>
      <c r="AB30" s="61"/>
      <c r="AC30" s="64"/>
    </row>
    <row r="31" spans="1:29" s="1" customFormat="1" ht="61.2" x14ac:dyDescent="1.1000000000000001">
      <c r="A31" s="60"/>
      <c r="B31" s="61"/>
      <c r="C31" s="61"/>
      <c r="D31" s="63"/>
      <c r="E31" s="63"/>
      <c r="F31" s="63"/>
      <c r="G31" s="63"/>
      <c r="H31" s="63"/>
      <c r="I31" s="63"/>
      <c r="J31" s="63"/>
      <c r="K31" s="63"/>
      <c r="L31" s="63"/>
      <c r="M31" s="63"/>
      <c r="N31" s="63"/>
      <c r="O31" s="63"/>
      <c r="P31" s="63"/>
      <c r="Q31" s="63"/>
      <c r="R31" s="63"/>
      <c r="S31" s="128"/>
      <c r="T31" s="63"/>
      <c r="U31" s="63"/>
      <c r="V31" s="63"/>
      <c r="W31" s="63"/>
      <c r="X31" s="63"/>
      <c r="Y31" s="63"/>
      <c r="Z31" s="63"/>
      <c r="AA31" s="61"/>
      <c r="AB31" s="61"/>
      <c r="AC31" s="64"/>
    </row>
    <row r="32" spans="1:29" ht="31.2" x14ac:dyDescent="0.6">
      <c r="A32" s="51"/>
      <c r="B32" s="52"/>
      <c r="C32" s="52"/>
      <c r="D32" s="82"/>
      <c r="E32" s="82"/>
      <c r="F32" s="82"/>
      <c r="G32" s="82"/>
      <c r="H32" s="82"/>
      <c r="I32" s="82"/>
      <c r="J32" s="82"/>
      <c r="K32" s="82"/>
      <c r="L32" s="82"/>
      <c r="M32" s="82"/>
      <c r="N32" s="82"/>
      <c r="O32" s="82"/>
      <c r="P32" s="82"/>
      <c r="Q32" s="82"/>
      <c r="R32" s="82"/>
      <c r="S32" s="82"/>
      <c r="T32" s="82"/>
      <c r="U32" s="82"/>
      <c r="V32" s="82"/>
      <c r="W32" s="82"/>
      <c r="X32" s="82"/>
      <c r="Y32" s="82"/>
      <c r="Z32" s="82"/>
      <c r="AA32" s="53"/>
      <c r="AB32" s="53"/>
      <c r="AC32" s="54"/>
    </row>
    <row r="33" spans="1:29" ht="131.4" customHeight="1" thickBot="1" x14ac:dyDescent="0.65">
      <c r="A33" s="55"/>
      <c r="B33" s="56"/>
      <c r="C33" s="56"/>
      <c r="D33" s="83"/>
      <c r="E33" s="83"/>
      <c r="F33" s="83"/>
      <c r="G33" s="83"/>
      <c r="H33" s="83"/>
      <c r="I33" s="83"/>
      <c r="J33" s="83"/>
      <c r="K33" s="83"/>
      <c r="L33" s="83"/>
      <c r="M33" s="83"/>
      <c r="N33" s="83"/>
      <c r="O33" s="83"/>
      <c r="P33" s="83"/>
      <c r="Q33" s="83"/>
      <c r="R33" s="83"/>
      <c r="S33" s="83"/>
      <c r="T33" s="83"/>
      <c r="U33" s="83"/>
      <c r="V33" s="83"/>
      <c r="W33" s="83"/>
      <c r="X33" s="83"/>
      <c r="Y33" s="83"/>
      <c r="Z33" s="83"/>
      <c r="AA33" s="57"/>
      <c r="AB33" s="57"/>
      <c r="AC33" s="58"/>
    </row>
  </sheetData>
  <mergeCells count="7">
    <mergeCell ref="AA26:AB26"/>
    <mergeCell ref="B14:C14"/>
    <mergeCell ref="A3:AC3"/>
    <mergeCell ref="B13:C13"/>
    <mergeCell ref="S4:X4"/>
    <mergeCell ref="S5:X5"/>
    <mergeCell ref="S6:X6"/>
  </mergeCells>
  <pageMargins left="0.32" right="0.45" top="0.35" bottom="0.25" header="0.3" footer="0.3"/>
  <pageSetup paperSize="9" scale="1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selection activeCell="A17" sqref="A17:I17"/>
    </sheetView>
  </sheetViews>
  <sheetFormatPr defaultRowHeight="14.4" x14ac:dyDescent="0.3"/>
  <cols>
    <col min="2" max="2" width="24.44140625" customWidth="1"/>
    <col min="6" max="6" width="17" customWidth="1"/>
    <col min="7" max="7" width="13.6640625" customWidth="1"/>
    <col min="9" max="9" width="26.33203125" customWidth="1"/>
  </cols>
  <sheetData>
    <row r="1" spans="1:9" ht="15" thickBot="1" x14ac:dyDescent="0.35">
      <c r="A1" s="319" t="s">
        <v>67</v>
      </c>
      <c r="B1" s="320"/>
      <c r="C1" s="320"/>
      <c r="D1" s="320"/>
      <c r="E1" s="320"/>
      <c r="F1" s="320"/>
      <c r="G1" s="320"/>
      <c r="H1" s="320"/>
      <c r="I1" s="321"/>
    </row>
    <row r="2" spans="1:9" x14ac:dyDescent="0.3">
      <c r="A2" s="319"/>
      <c r="B2" s="320"/>
      <c r="C2" s="320"/>
      <c r="D2" s="320"/>
      <c r="E2" s="320"/>
      <c r="F2" s="320"/>
      <c r="G2" s="320"/>
      <c r="H2" s="320"/>
      <c r="I2" s="321"/>
    </row>
    <row r="3" spans="1:9" x14ac:dyDescent="0.3">
      <c r="A3" s="322" t="s">
        <v>68</v>
      </c>
      <c r="B3" s="323"/>
      <c r="C3" s="324" t="s">
        <v>142</v>
      </c>
      <c r="D3" s="325"/>
      <c r="E3" s="325"/>
      <c r="F3" s="326"/>
      <c r="G3" s="327"/>
      <c r="H3" s="328"/>
      <c r="I3" s="329"/>
    </row>
    <row r="4" spans="1:9" x14ac:dyDescent="0.3">
      <c r="A4" s="336" t="s">
        <v>69</v>
      </c>
      <c r="B4" s="337"/>
      <c r="C4" s="342"/>
      <c r="D4" s="343"/>
      <c r="E4" s="343"/>
      <c r="F4" s="343"/>
      <c r="G4" s="330"/>
      <c r="H4" s="331"/>
      <c r="I4" s="332"/>
    </row>
    <row r="5" spans="1:9" x14ac:dyDescent="0.3">
      <c r="A5" s="338"/>
      <c r="B5" s="339"/>
      <c r="C5" s="343"/>
      <c r="D5" s="343"/>
      <c r="E5" s="343"/>
      <c r="F5" s="343"/>
      <c r="G5" s="330"/>
      <c r="H5" s="331"/>
      <c r="I5" s="332"/>
    </row>
    <row r="6" spans="1:9" x14ac:dyDescent="0.3">
      <c r="A6" s="340"/>
      <c r="B6" s="341"/>
      <c r="C6" s="343"/>
      <c r="D6" s="343"/>
      <c r="E6" s="343"/>
      <c r="F6" s="343"/>
      <c r="G6" s="330"/>
      <c r="H6" s="331"/>
      <c r="I6" s="332"/>
    </row>
    <row r="7" spans="1:9" x14ac:dyDescent="0.3">
      <c r="A7" s="344" t="s">
        <v>70</v>
      </c>
      <c r="B7" s="345"/>
      <c r="C7" s="346">
        <v>3267708</v>
      </c>
      <c r="D7" s="347"/>
      <c r="E7" s="347"/>
      <c r="F7" s="348"/>
      <c r="G7" s="330"/>
      <c r="H7" s="331"/>
      <c r="I7" s="332"/>
    </row>
    <row r="8" spans="1:9" x14ac:dyDescent="0.3">
      <c r="A8" s="322" t="s">
        <v>71</v>
      </c>
      <c r="B8" s="323"/>
      <c r="C8" s="349" t="s">
        <v>157</v>
      </c>
      <c r="D8" s="350"/>
      <c r="E8" s="350"/>
      <c r="F8" s="351"/>
      <c r="G8" s="333"/>
      <c r="H8" s="334"/>
      <c r="I8" s="335"/>
    </row>
    <row r="9" spans="1:9" x14ac:dyDescent="0.3">
      <c r="A9" s="322" t="s">
        <v>72</v>
      </c>
      <c r="B9" s="323"/>
      <c r="C9" s="352" t="s">
        <v>73</v>
      </c>
      <c r="D9" s="353"/>
      <c r="E9" s="353"/>
      <c r="F9" s="353"/>
      <c r="G9" s="353"/>
      <c r="H9" s="353"/>
      <c r="I9" s="354"/>
    </row>
    <row r="10" spans="1:9" x14ac:dyDescent="0.3">
      <c r="A10" s="322" t="s">
        <v>74</v>
      </c>
      <c r="B10" s="323"/>
      <c r="C10" s="355" t="s">
        <v>159</v>
      </c>
      <c r="D10" s="356"/>
      <c r="E10" s="356"/>
      <c r="F10" s="356"/>
      <c r="G10" s="356"/>
      <c r="H10" s="356"/>
      <c r="I10" s="357"/>
    </row>
    <row r="11" spans="1:9" x14ac:dyDescent="0.3">
      <c r="A11" s="358" t="s">
        <v>75</v>
      </c>
      <c r="B11" s="359"/>
      <c r="C11" s="359"/>
      <c r="D11" s="359"/>
      <c r="E11" s="359"/>
      <c r="F11" s="359"/>
      <c r="G11" s="359"/>
      <c r="H11" s="359"/>
      <c r="I11" s="360"/>
    </row>
    <row r="12" spans="1:9" x14ac:dyDescent="0.3">
      <c r="A12" s="310" t="s">
        <v>236</v>
      </c>
      <c r="B12" s="311"/>
      <c r="C12" s="311"/>
      <c r="D12" s="311"/>
      <c r="E12" s="311"/>
      <c r="F12" s="311"/>
      <c r="G12" s="311"/>
      <c r="H12" s="311"/>
      <c r="I12" s="312"/>
    </row>
    <row r="13" spans="1:9" x14ac:dyDescent="0.3">
      <c r="A13" s="313"/>
      <c r="B13" s="314"/>
      <c r="C13" s="314"/>
      <c r="D13" s="314"/>
      <c r="E13" s="314"/>
      <c r="F13" s="314"/>
      <c r="G13" s="314"/>
      <c r="H13" s="314"/>
      <c r="I13" s="315"/>
    </row>
    <row r="14" spans="1:9" x14ac:dyDescent="0.3">
      <c r="A14" s="316"/>
      <c r="B14" s="317"/>
      <c r="C14" s="317"/>
      <c r="D14" s="317"/>
      <c r="E14" s="317"/>
      <c r="F14" s="317"/>
      <c r="G14" s="317"/>
      <c r="H14" s="317"/>
      <c r="I14" s="318"/>
    </row>
    <row r="15" spans="1:9" x14ac:dyDescent="0.3">
      <c r="A15" s="294"/>
      <c r="B15" s="295"/>
      <c r="C15" s="295"/>
      <c r="D15" s="295"/>
      <c r="E15" s="295"/>
      <c r="F15" s="295"/>
      <c r="G15" s="295"/>
      <c r="H15" s="295"/>
      <c r="I15" s="296"/>
    </row>
    <row r="16" spans="1:9" x14ac:dyDescent="0.3">
      <c r="A16" s="297" t="s">
        <v>246</v>
      </c>
      <c r="B16" s="298"/>
      <c r="C16" s="298"/>
      <c r="D16" s="298"/>
      <c r="E16" s="298"/>
      <c r="F16" s="298"/>
      <c r="G16" s="298"/>
      <c r="H16" s="298"/>
      <c r="I16" s="299"/>
    </row>
    <row r="17" spans="1:14" x14ac:dyDescent="0.3">
      <c r="A17" s="300"/>
      <c r="B17" s="301"/>
      <c r="C17" s="301"/>
      <c r="D17" s="301"/>
      <c r="E17" s="301"/>
      <c r="F17" s="301"/>
      <c r="G17" s="301"/>
      <c r="H17" s="301"/>
      <c r="I17" s="302"/>
    </row>
    <row r="18" spans="1:14" x14ac:dyDescent="0.3">
      <c r="A18" s="74"/>
      <c r="B18" s="303"/>
      <c r="C18" s="303"/>
      <c r="D18" s="303"/>
      <c r="E18" s="303"/>
      <c r="F18" s="303"/>
      <c r="G18" s="303"/>
      <c r="H18" s="303"/>
      <c r="I18" s="304"/>
    </row>
    <row r="19" spans="1:14" x14ac:dyDescent="0.3">
      <c r="A19" s="305" t="s">
        <v>76</v>
      </c>
      <c r="B19" s="306"/>
      <c r="C19" s="307" t="s">
        <v>77</v>
      </c>
      <c r="D19" s="307"/>
      <c r="E19" s="307"/>
      <c r="F19" s="307" t="s">
        <v>78</v>
      </c>
      <c r="G19" s="307"/>
      <c r="H19" s="308" t="s">
        <v>79</v>
      </c>
      <c r="I19" s="309"/>
    </row>
    <row r="20" spans="1:14" x14ac:dyDescent="0.3">
      <c r="A20" s="273"/>
      <c r="B20" s="274"/>
      <c r="C20" s="275"/>
      <c r="D20" s="275"/>
      <c r="E20" s="275"/>
      <c r="F20" s="276"/>
      <c r="G20" s="276"/>
      <c r="H20" s="277"/>
      <c r="I20" s="278"/>
    </row>
    <row r="21" spans="1:14" x14ac:dyDescent="0.3">
      <c r="A21" s="273"/>
      <c r="B21" s="274"/>
      <c r="C21" s="275"/>
      <c r="D21" s="275"/>
      <c r="E21" s="275"/>
      <c r="F21" s="276"/>
      <c r="G21" s="276"/>
      <c r="H21" s="279"/>
      <c r="I21" s="280"/>
    </row>
    <row r="22" spans="1:14" x14ac:dyDescent="0.3">
      <c r="A22" s="273"/>
      <c r="B22" s="274"/>
      <c r="C22" s="275"/>
      <c r="D22" s="275"/>
      <c r="E22" s="275"/>
      <c r="F22" s="276"/>
      <c r="G22" s="276"/>
      <c r="H22" s="279"/>
      <c r="I22" s="280"/>
      <c r="N22" s="75"/>
    </row>
    <row r="23" spans="1:14" ht="43.2" customHeight="1" x14ac:dyDescent="0.3">
      <c r="A23" s="273"/>
      <c r="B23" s="274"/>
      <c r="C23" s="275"/>
      <c r="D23" s="275"/>
      <c r="E23" s="275"/>
      <c r="F23" s="276"/>
      <c r="G23" s="276"/>
      <c r="H23" s="279"/>
      <c r="I23" s="280"/>
    </row>
    <row r="24" spans="1:14" s="88" customFormat="1" ht="28.2" customHeight="1" x14ac:dyDescent="0.3">
      <c r="A24" s="283" t="s">
        <v>80</v>
      </c>
      <c r="B24" s="284"/>
      <c r="C24" s="285" t="s">
        <v>81</v>
      </c>
      <c r="D24" s="286"/>
      <c r="E24" s="286"/>
      <c r="F24" s="286"/>
      <c r="G24" s="287"/>
      <c r="H24" s="279"/>
      <c r="I24" s="280"/>
    </row>
    <row r="25" spans="1:14" ht="15" thickBot="1" x14ac:dyDescent="0.35">
      <c r="A25" s="288"/>
      <c r="B25" s="289"/>
      <c r="C25" s="292"/>
      <c r="D25" s="292"/>
      <c r="E25" s="292"/>
      <c r="F25" s="292"/>
      <c r="G25" s="292"/>
      <c r="H25" s="279"/>
      <c r="I25" s="280"/>
    </row>
    <row r="26" spans="1:14" ht="15" thickBot="1" x14ac:dyDescent="0.35">
      <c r="A26" s="288"/>
      <c r="B26" s="289"/>
      <c r="C26" s="292"/>
      <c r="D26" s="292"/>
      <c r="E26" s="292"/>
      <c r="F26" s="292"/>
      <c r="G26" s="292"/>
      <c r="H26" s="279"/>
      <c r="I26" s="280"/>
    </row>
    <row r="27" spans="1:14" ht="15" thickBot="1" x14ac:dyDescent="0.35">
      <c r="A27" s="288"/>
      <c r="B27" s="289"/>
      <c r="C27" s="292"/>
      <c r="D27" s="292"/>
      <c r="E27" s="292"/>
      <c r="F27" s="292"/>
      <c r="G27" s="292"/>
      <c r="H27" s="279"/>
      <c r="I27" s="280"/>
    </row>
    <row r="28" spans="1:14" ht="15" thickBot="1" x14ac:dyDescent="0.35">
      <c r="A28" s="288"/>
      <c r="B28" s="289"/>
      <c r="C28" s="292"/>
      <c r="D28" s="292"/>
      <c r="E28" s="292"/>
      <c r="F28" s="292"/>
      <c r="G28" s="292"/>
      <c r="H28" s="279"/>
      <c r="I28" s="280"/>
    </row>
    <row r="29" spans="1:14" ht="25.2" customHeight="1" thickBot="1" x14ac:dyDescent="0.35">
      <c r="A29" s="290"/>
      <c r="B29" s="291"/>
      <c r="C29" s="293"/>
      <c r="D29" s="293"/>
      <c r="E29" s="293"/>
      <c r="F29" s="293"/>
      <c r="G29" s="293"/>
      <c r="H29" s="281"/>
      <c r="I29" s="282"/>
    </row>
  </sheetData>
  <mergeCells count="32">
    <mergeCell ref="A12:I14"/>
    <mergeCell ref="A1:I2"/>
    <mergeCell ref="A3:B3"/>
    <mergeCell ref="C3:F3"/>
    <mergeCell ref="G3:I8"/>
    <mergeCell ref="A4:B6"/>
    <mergeCell ref="C4:F6"/>
    <mergeCell ref="A7:B7"/>
    <mergeCell ref="C7:F7"/>
    <mergeCell ref="A8:B8"/>
    <mergeCell ref="C8:F8"/>
    <mergeCell ref="A9:B9"/>
    <mergeCell ref="C9:I9"/>
    <mergeCell ref="A10:B10"/>
    <mergeCell ref="C10:I10"/>
    <mergeCell ref="A11:I11"/>
    <mergeCell ref="A15:I15"/>
    <mergeCell ref="A16:I16"/>
    <mergeCell ref="A17:I17"/>
    <mergeCell ref="B18:I18"/>
    <mergeCell ref="A19:B19"/>
    <mergeCell ref="C19:E19"/>
    <mergeCell ref="F19:G19"/>
    <mergeCell ref="H19:I19"/>
    <mergeCell ref="A20:B23"/>
    <mergeCell ref="C20:E23"/>
    <mergeCell ref="F20:G23"/>
    <mergeCell ref="H20:I29"/>
    <mergeCell ref="A24:B24"/>
    <mergeCell ref="C24:G24"/>
    <mergeCell ref="A25:B29"/>
    <mergeCell ref="C25:G29"/>
  </mergeCells>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tabSelected="1" workbookViewId="0">
      <selection activeCell="R10" sqref="R10"/>
    </sheetView>
  </sheetViews>
  <sheetFormatPr defaultColWidth="5.6640625" defaultRowHeight="14.4" x14ac:dyDescent="0.3"/>
  <cols>
    <col min="1" max="1" width="15.6640625" customWidth="1"/>
    <col min="2" max="2" width="35" customWidth="1"/>
    <col min="3" max="10" width="10.6640625" customWidth="1"/>
    <col min="11" max="15" width="9.33203125" customWidth="1"/>
  </cols>
  <sheetData>
    <row r="1" spans="1:15" ht="15.6" x14ac:dyDescent="0.3">
      <c r="A1" s="361" t="s">
        <v>68</v>
      </c>
      <c r="B1" s="362"/>
      <c r="C1" s="363" t="s">
        <v>142</v>
      </c>
      <c r="D1" s="364"/>
      <c r="E1" s="364"/>
      <c r="F1" s="364"/>
      <c r="G1" s="364"/>
      <c r="H1" s="364"/>
      <c r="I1" s="364"/>
      <c r="J1" s="364"/>
      <c r="K1" s="384" t="s">
        <v>114</v>
      </c>
      <c r="L1" s="365"/>
      <c r="M1" s="365"/>
      <c r="N1" s="365"/>
      <c r="O1" s="366"/>
    </row>
    <row r="2" spans="1:15" ht="15.6" x14ac:dyDescent="0.3">
      <c r="A2" s="369" t="s">
        <v>83</v>
      </c>
      <c r="B2" s="370"/>
      <c r="C2" s="371" t="s">
        <v>157</v>
      </c>
      <c r="D2" s="372"/>
      <c r="E2" s="372"/>
      <c r="F2" s="372"/>
      <c r="G2" s="372"/>
      <c r="H2" s="372"/>
      <c r="I2" s="372"/>
      <c r="J2" s="372"/>
      <c r="K2" s="385"/>
      <c r="L2" s="367"/>
      <c r="M2" s="367"/>
      <c r="N2" s="367"/>
      <c r="O2" s="368"/>
    </row>
    <row r="3" spans="1:15" ht="15.6" x14ac:dyDescent="0.3">
      <c r="A3" s="369" t="s">
        <v>84</v>
      </c>
      <c r="B3" s="370"/>
      <c r="C3" s="373" t="s">
        <v>115</v>
      </c>
      <c r="D3" s="374"/>
      <c r="E3" s="374"/>
      <c r="F3" s="374"/>
      <c r="G3" s="374"/>
      <c r="H3" s="374"/>
      <c r="I3" s="374"/>
      <c r="J3" s="374"/>
      <c r="K3" s="385"/>
      <c r="L3" s="367"/>
      <c r="M3" s="367"/>
      <c r="N3" s="367"/>
      <c r="O3" s="368"/>
    </row>
    <row r="4" spans="1:15" ht="15.6" x14ac:dyDescent="0.3">
      <c r="A4" s="235" t="s">
        <v>85</v>
      </c>
      <c r="B4" s="236"/>
      <c r="C4" s="373" t="s">
        <v>115</v>
      </c>
      <c r="D4" s="374"/>
      <c r="E4" s="374"/>
      <c r="F4" s="374"/>
      <c r="G4" s="374"/>
      <c r="H4" s="374"/>
      <c r="I4" s="374"/>
      <c r="J4" s="374"/>
      <c r="K4" s="385"/>
      <c r="L4" s="367"/>
      <c r="M4" s="367"/>
      <c r="N4" s="367"/>
      <c r="O4" s="368"/>
    </row>
    <row r="5" spans="1:15" ht="15.6" x14ac:dyDescent="0.3">
      <c r="A5" s="369" t="s">
        <v>47</v>
      </c>
      <c r="B5" s="370"/>
      <c r="C5" s="373" t="s">
        <v>115</v>
      </c>
      <c r="D5" s="374"/>
      <c r="E5" s="374"/>
      <c r="F5" s="374"/>
      <c r="G5" s="374"/>
      <c r="H5" s="374"/>
      <c r="I5" s="374"/>
      <c r="J5" s="374"/>
      <c r="K5" s="385"/>
      <c r="L5" s="367"/>
      <c r="M5" s="367"/>
      <c r="N5" s="367"/>
      <c r="O5" s="368"/>
    </row>
    <row r="6" spans="1:15" ht="15.6" x14ac:dyDescent="0.3">
      <c r="A6" s="369" t="s">
        <v>74</v>
      </c>
      <c r="B6" s="370"/>
      <c r="C6" s="373" t="s">
        <v>159</v>
      </c>
      <c r="D6" s="374"/>
      <c r="E6" s="374"/>
      <c r="F6" s="374"/>
      <c r="G6" s="374"/>
      <c r="H6" s="374"/>
      <c r="I6" s="374"/>
      <c r="J6" s="374"/>
      <c r="K6" s="385"/>
      <c r="L6" s="367"/>
      <c r="M6" s="367"/>
      <c r="N6" s="367"/>
      <c r="O6" s="368"/>
    </row>
    <row r="7" spans="1:15" ht="16.2" thickBot="1" x14ac:dyDescent="0.35">
      <c r="A7" s="369" t="s">
        <v>116</v>
      </c>
      <c r="B7" s="370"/>
      <c r="C7" s="377" t="s">
        <v>239</v>
      </c>
      <c r="D7" s="378"/>
      <c r="E7" s="378"/>
      <c r="F7" s="378"/>
      <c r="G7" s="378"/>
      <c r="H7" s="378"/>
      <c r="I7" s="378"/>
      <c r="J7" s="378"/>
      <c r="K7" s="386"/>
      <c r="L7" s="387"/>
      <c r="M7" s="387"/>
      <c r="N7" s="387"/>
      <c r="O7" s="388"/>
    </row>
    <row r="8" spans="1:15" ht="15.6" x14ac:dyDescent="0.3">
      <c r="A8" s="379" t="s">
        <v>82</v>
      </c>
      <c r="B8" s="380"/>
      <c r="C8" s="380"/>
      <c r="D8" s="380"/>
      <c r="E8" s="380"/>
      <c r="F8" s="380"/>
      <c r="G8" s="380"/>
      <c r="H8" s="380"/>
      <c r="I8" s="380"/>
      <c r="J8" s="380"/>
      <c r="K8" s="382"/>
      <c r="L8" s="382"/>
      <c r="M8" s="382"/>
      <c r="N8" s="382"/>
      <c r="O8" s="383"/>
    </row>
    <row r="9" spans="1:15" ht="15.6" x14ac:dyDescent="0.3">
      <c r="A9" s="212"/>
      <c r="B9" s="93"/>
      <c r="C9" s="234"/>
      <c r="D9" s="234"/>
      <c r="E9" s="234"/>
      <c r="F9" s="234"/>
      <c r="G9" s="234"/>
      <c r="H9" s="234"/>
      <c r="I9" s="234"/>
      <c r="J9" s="234"/>
      <c r="K9" s="375"/>
      <c r="L9" s="375"/>
      <c r="M9" s="375"/>
      <c r="N9" s="375"/>
      <c r="O9" s="376"/>
    </row>
    <row r="10" spans="1:15" ht="52.95" customHeight="1" x14ac:dyDescent="0.3">
      <c r="A10" s="94"/>
      <c r="B10" s="95" t="s">
        <v>86</v>
      </c>
      <c r="C10" s="134" t="s">
        <v>113</v>
      </c>
      <c r="D10" s="134" t="s">
        <v>144</v>
      </c>
      <c r="E10" s="134" t="s">
        <v>238</v>
      </c>
      <c r="F10" s="134" t="s">
        <v>237</v>
      </c>
      <c r="G10" s="134" t="s">
        <v>135</v>
      </c>
      <c r="H10" s="134" t="s">
        <v>135</v>
      </c>
      <c r="I10" s="134" t="s">
        <v>135</v>
      </c>
      <c r="J10" s="134" t="s">
        <v>156</v>
      </c>
      <c r="K10" s="134" t="s">
        <v>133</v>
      </c>
      <c r="L10" s="134" t="s">
        <v>133</v>
      </c>
      <c r="M10" s="134" t="s">
        <v>134</v>
      </c>
      <c r="N10" s="134" t="s">
        <v>134</v>
      </c>
      <c r="O10" s="389" t="s">
        <v>143</v>
      </c>
    </row>
    <row r="11" spans="1:15" ht="15.6" x14ac:dyDescent="0.3">
      <c r="A11" s="94"/>
      <c r="B11" s="237" t="s">
        <v>87</v>
      </c>
      <c r="C11" s="134">
        <v>2002495907</v>
      </c>
      <c r="D11" s="134">
        <v>2002503216</v>
      </c>
      <c r="E11" s="134">
        <v>2002334231</v>
      </c>
      <c r="F11" s="152">
        <v>2002269100</v>
      </c>
      <c r="G11" s="134">
        <v>2002668786</v>
      </c>
      <c r="H11" s="134">
        <v>2001649259</v>
      </c>
      <c r="I11" s="134">
        <v>9500172828</v>
      </c>
      <c r="J11" s="134">
        <v>2002668758</v>
      </c>
      <c r="K11" s="134">
        <v>2002677184</v>
      </c>
      <c r="L11" s="134">
        <v>2002669131</v>
      </c>
      <c r="M11" s="134">
        <v>2002456956</v>
      </c>
      <c r="N11" s="134">
        <v>2002475640</v>
      </c>
      <c r="O11" s="389">
        <v>2002462695</v>
      </c>
    </row>
    <row r="12" spans="1:15" ht="31.2" x14ac:dyDescent="0.3">
      <c r="A12" s="96" t="s">
        <v>88</v>
      </c>
      <c r="B12" s="95" t="s">
        <v>117</v>
      </c>
      <c r="C12" s="97"/>
      <c r="D12" s="97"/>
      <c r="E12" s="151"/>
      <c r="F12" s="151"/>
      <c r="G12" s="97"/>
      <c r="H12" s="97"/>
      <c r="I12" s="97"/>
      <c r="J12" s="97"/>
      <c r="K12" s="97"/>
      <c r="L12" s="97"/>
      <c r="M12" s="97"/>
      <c r="N12" s="97"/>
      <c r="O12" s="390"/>
    </row>
    <row r="13" spans="1:15" ht="15.6" x14ac:dyDescent="0.3">
      <c r="A13" s="98"/>
      <c r="B13" s="99"/>
      <c r="C13" s="100"/>
      <c r="D13" s="100"/>
      <c r="E13" s="100"/>
      <c r="F13" s="100"/>
      <c r="G13" s="100"/>
      <c r="H13" s="100"/>
      <c r="I13" s="100"/>
      <c r="J13" s="100"/>
      <c r="K13" s="100"/>
      <c r="L13" s="100"/>
      <c r="M13" s="100"/>
      <c r="N13" s="100"/>
      <c r="O13" s="391"/>
    </row>
    <row r="14" spans="1:15" ht="15.6" x14ac:dyDescent="0.3">
      <c r="A14" s="98">
        <v>1</v>
      </c>
      <c r="B14" s="99" t="s">
        <v>89</v>
      </c>
      <c r="C14" s="213">
        <v>26</v>
      </c>
      <c r="D14" s="213">
        <v>18</v>
      </c>
      <c r="E14" s="213">
        <v>8</v>
      </c>
      <c r="F14" s="213">
        <v>1</v>
      </c>
      <c r="G14" s="213">
        <v>8</v>
      </c>
      <c r="H14" s="213">
        <v>2</v>
      </c>
      <c r="I14" s="213">
        <v>2</v>
      </c>
      <c r="J14" s="213">
        <v>40</v>
      </c>
      <c r="K14" s="213">
        <v>25</v>
      </c>
      <c r="L14" s="213">
        <v>1</v>
      </c>
      <c r="M14" s="213">
        <v>2</v>
      </c>
      <c r="N14" s="213">
        <v>24</v>
      </c>
      <c r="O14" s="392">
        <v>26</v>
      </c>
    </row>
    <row r="15" spans="1:15" ht="15.6" x14ac:dyDescent="0.3">
      <c r="A15" s="98"/>
      <c r="B15" s="99"/>
      <c r="C15" s="154"/>
      <c r="D15" s="154"/>
      <c r="E15" s="154"/>
      <c r="F15" s="154"/>
      <c r="G15" s="154"/>
      <c r="H15" s="154"/>
      <c r="I15" s="154"/>
      <c r="J15" s="154"/>
      <c r="K15" s="154"/>
      <c r="L15" s="154"/>
      <c r="M15" s="154"/>
      <c r="N15" s="154"/>
      <c r="O15" s="393"/>
    </row>
    <row r="16" spans="1:15" ht="31.2" x14ac:dyDescent="0.3">
      <c r="A16" s="98">
        <v>2</v>
      </c>
      <c r="B16" s="99" t="s">
        <v>90</v>
      </c>
      <c r="C16" s="153">
        <v>0</v>
      </c>
      <c r="D16" s="153">
        <v>0</v>
      </c>
      <c r="E16" s="153">
        <v>0</v>
      </c>
      <c r="F16" s="153">
        <v>0</v>
      </c>
      <c r="G16" s="153">
        <v>0</v>
      </c>
      <c r="H16" s="153">
        <v>0</v>
      </c>
      <c r="I16" s="153">
        <v>0</v>
      </c>
      <c r="J16" s="153">
        <v>0</v>
      </c>
      <c r="K16" s="153">
        <v>0</v>
      </c>
      <c r="L16" s="153">
        <v>0</v>
      </c>
      <c r="M16" s="153">
        <v>0</v>
      </c>
      <c r="N16" s="153">
        <v>0</v>
      </c>
      <c r="O16" s="394">
        <v>0</v>
      </c>
    </row>
    <row r="17" spans="1:15" ht="15.6" x14ac:dyDescent="0.3">
      <c r="A17" s="98"/>
      <c r="B17" s="95"/>
      <c r="C17" s="153"/>
      <c r="D17" s="153"/>
      <c r="E17" s="153"/>
      <c r="F17" s="153"/>
      <c r="G17" s="153"/>
      <c r="H17" s="153"/>
      <c r="I17" s="153"/>
      <c r="J17" s="153"/>
      <c r="K17" s="153"/>
      <c r="L17" s="153"/>
      <c r="M17" s="153"/>
      <c r="N17" s="153"/>
      <c r="O17" s="394"/>
    </row>
    <row r="18" spans="1:15" ht="15.6" x14ac:dyDescent="0.3">
      <c r="A18" s="101"/>
      <c r="B18" s="102" t="s">
        <v>118</v>
      </c>
      <c r="C18" s="97">
        <f>C14+C16</f>
        <v>26</v>
      </c>
      <c r="D18" s="97">
        <f t="shared" ref="D18:K18" si="0">D14+D16</f>
        <v>18</v>
      </c>
      <c r="E18" s="97">
        <f>E14+E16</f>
        <v>8</v>
      </c>
      <c r="F18" s="97">
        <f t="shared" si="0"/>
        <v>1</v>
      </c>
      <c r="G18" s="97">
        <f t="shared" si="0"/>
        <v>8</v>
      </c>
      <c r="H18" s="97">
        <f t="shared" ref="H18:I18" si="1">H14+H16</f>
        <v>2</v>
      </c>
      <c r="I18" s="97">
        <f t="shared" si="1"/>
        <v>2</v>
      </c>
      <c r="J18" s="97">
        <f>J14+J16</f>
        <v>40</v>
      </c>
      <c r="K18" s="97">
        <f t="shared" si="0"/>
        <v>25</v>
      </c>
      <c r="L18" s="97">
        <f t="shared" ref="L18" si="2">L14+L16</f>
        <v>1</v>
      </c>
      <c r="M18" s="97">
        <f>M14+M16</f>
        <v>2</v>
      </c>
      <c r="N18" s="97">
        <f>N14+N16</f>
        <v>24</v>
      </c>
      <c r="O18" s="390">
        <f>O14+O16</f>
        <v>26</v>
      </c>
    </row>
    <row r="19" spans="1:15" ht="15.6" x14ac:dyDescent="0.3">
      <c r="A19" s="103"/>
      <c r="B19" s="104"/>
      <c r="C19" s="155"/>
      <c r="D19" s="155"/>
      <c r="E19" s="155"/>
      <c r="F19" s="155"/>
      <c r="G19" s="155"/>
      <c r="H19" s="155"/>
      <c r="I19" s="155"/>
      <c r="J19" s="155"/>
      <c r="K19" s="155"/>
      <c r="L19" s="155"/>
      <c r="M19" s="155"/>
      <c r="N19" s="155"/>
      <c r="O19" s="395"/>
    </row>
    <row r="20" spans="1:15" ht="46.8" x14ac:dyDescent="0.3">
      <c r="A20" s="96" t="s">
        <v>91</v>
      </c>
      <c r="B20" s="95" t="s">
        <v>119</v>
      </c>
      <c r="C20" s="155">
        <v>0</v>
      </c>
      <c r="D20" s="155">
        <v>0</v>
      </c>
      <c r="E20" s="155">
        <v>0</v>
      </c>
      <c r="F20" s="153">
        <v>0</v>
      </c>
      <c r="G20" s="155">
        <v>0</v>
      </c>
      <c r="H20" s="155">
        <v>0</v>
      </c>
      <c r="I20" s="155">
        <v>0</v>
      </c>
      <c r="J20" s="155">
        <v>0</v>
      </c>
      <c r="K20" s="155">
        <v>0</v>
      </c>
      <c r="L20" s="155">
        <v>0</v>
      </c>
      <c r="M20" s="155">
        <v>0</v>
      </c>
      <c r="N20" s="155">
        <v>0</v>
      </c>
      <c r="O20" s="395">
        <v>0</v>
      </c>
    </row>
    <row r="21" spans="1:15" ht="31.2" x14ac:dyDescent="0.3">
      <c r="A21" s="98">
        <v>1</v>
      </c>
      <c r="B21" s="99" t="s">
        <v>92</v>
      </c>
      <c r="C21" s="153">
        <v>0</v>
      </c>
      <c r="D21" s="153">
        <v>0</v>
      </c>
      <c r="E21" s="153">
        <v>0</v>
      </c>
      <c r="F21" s="153">
        <v>0</v>
      </c>
      <c r="G21" s="153">
        <v>0</v>
      </c>
      <c r="H21" s="153">
        <v>0</v>
      </c>
      <c r="I21" s="153">
        <v>0</v>
      </c>
      <c r="J21" s="153">
        <v>0</v>
      </c>
      <c r="K21" s="153">
        <v>0</v>
      </c>
      <c r="L21" s="153">
        <v>0</v>
      </c>
      <c r="M21" s="153">
        <v>0</v>
      </c>
      <c r="N21" s="153">
        <v>0</v>
      </c>
      <c r="O21" s="394">
        <v>0</v>
      </c>
    </row>
    <row r="22" spans="1:15" ht="31.2" x14ac:dyDescent="0.3">
      <c r="A22" s="98">
        <v>2</v>
      </c>
      <c r="B22" s="99" t="s">
        <v>120</v>
      </c>
      <c r="C22" s="153">
        <v>0</v>
      </c>
      <c r="D22" s="153">
        <v>0</v>
      </c>
      <c r="E22" s="153">
        <v>0</v>
      </c>
      <c r="F22" s="153">
        <v>0</v>
      </c>
      <c r="G22" s="153">
        <v>0</v>
      </c>
      <c r="H22" s="153">
        <v>0</v>
      </c>
      <c r="I22" s="153">
        <v>0</v>
      </c>
      <c r="J22" s="153">
        <v>0</v>
      </c>
      <c r="K22" s="153">
        <v>0</v>
      </c>
      <c r="L22" s="153">
        <v>0</v>
      </c>
      <c r="M22" s="153">
        <v>0</v>
      </c>
      <c r="N22" s="153">
        <v>0</v>
      </c>
      <c r="O22" s="394">
        <v>0</v>
      </c>
    </row>
    <row r="23" spans="1:15" ht="15.6" x14ac:dyDescent="0.3">
      <c r="A23" s="105"/>
      <c r="B23" s="106" t="s">
        <v>121</v>
      </c>
      <c r="C23" s="153">
        <f>SUM(C20:C22)</f>
        <v>0</v>
      </c>
      <c r="D23" s="153">
        <f t="shared" ref="D23" si="3">SUM(D20:D22)</f>
        <v>0</v>
      </c>
      <c r="E23" s="153">
        <f>SUM(E20:E22)</f>
        <v>0</v>
      </c>
      <c r="F23" s="153">
        <f t="shared" ref="F23" si="4">SUM(F20:F22)</f>
        <v>0</v>
      </c>
      <c r="G23" s="153">
        <f t="shared" ref="G23:H23" si="5">SUM(G20:G22)</f>
        <v>0</v>
      </c>
      <c r="H23" s="153">
        <f t="shared" si="5"/>
        <v>0</v>
      </c>
      <c r="I23" s="153">
        <f t="shared" ref="I23" si="6">SUM(I20:I22)</f>
        <v>0</v>
      </c>
      <c r="J23" s="153">
        <f>SUM(J20:J22)</f>
        <v>0</v>
      </c>
      <c r="K23" s="153">
        <f t="shared" ref="K23:L23" si="7">SUM(K20:K22)</f>
        <v>0</v>
      </c>
      <c r="L23" s="153">
        <f t="shared" si="7"/>
        <v>0</v>
      </c>
      <c r="M23" s="153">
        <f>SUM(M20:M22)</f>
        <v>0</v>
      </c>
      <c r="N23" s="153">
        <f>SUM(N20:N22)</f>
        <v>0</v>
      </c>
      <c r="O23" s="394">
        <f>SUM(O20:O22)</f>
        <v>0</v>
      </c>
    </row>
    <row r="24" spans="1:15" ht="15.6" x14ac:dyDescent="0.3">
      <c r="A24" s="107"/>
      <c r="B24" s="108"/>
      <c r="C24" s="155"/>
      <c r="D24" s="155"/>
      <c r="E24" s="155"/>
      <c r="F24" s="155"/>
      <c r="G24" s="155"/>
      <c r="H24" s="155"/>
      <c r="I24" s="155"/>
      <c r="J24" s="155"/>
      <c r="K24" s="155"/>
      <c r="L24" s="155"/>
      <c r="M24" s="155"/>
      <c r="N24" s="155"/>
      <c r="O24" s="395"/>
    </row>
    <row r="25" spans="1:15" ht="15.6" x14ac:dyDescent="0.3">
      <c r="A25" s="96" t="s">
        <v>93</v>
      </c>
      <c r="B25" s="95" t="s">
        <v>94</v>
      </c>
      <c r="C25" s="155">
        <f>C18-C23</f>
        <v>26</v>
      </c>
      <c r="D25" s="155">
        <f t="shared" ref="D25:K25" si="8">D18-D23</f>
        <v>18</v>
      </c>
      <c r="E25" s="155">
        <f>E18-E23</f>
        <v>8</v>
      </c>
      <c r="F25" s="155">
        <f t="shared" si="8"/>
        <v>1</v>
      </c>
      <c r="G25" s="155">
        <f t="shared" si="8"/>
        <v>8</v>
      </c>
      <c r="H25" s="155">
        <f t="shared" ref="H25:I25" si="9">H18-H23</f>
        <v>2</v>
      </c>
      <c r="I25" s="155">
        <f t="shared" si="9"/>
        <v>2</v>
      </c>
      <c r="J25" s="155">
        <f>J18-J23</f>
        <v>40</v>
      </c>
      <c r="K25" s="155">
        <f t="shared" si="8"/>
        <v>25</v>
      </c>
      <c r="L25" s="155">
        <f t="shared" ref="L25" si="10">L18-L23</f>
        <v>1</v>
      </c>
      <c r="M25" s="155">
        <f>M18-M23</f>
        <v>2</v>
      </c>
      <c r="N25" s="155">
        <f>N18-N23</f>
        <v>24</v>
      </c>
      <c r="O25" s="395">
        <f>O18-O23</f>
        <v>26</v>
      </c>
    </row>
    <row r="26" spans="1:15" ht="15.6" x14ac:dyDescent="0.3">
      <c r="A26" s="107"/>
      <c r="B26" s="108"/>
      <c r="C26" s="155"/>
      <c r="D26" s="155"/>
      <c r="E26" s="155"/>
      <c r="F26" s="155"/>
      <c r="G26" s="155"/>
      <c r="H26" s="155"/>
      <c r="I26" s="155"/>
      <c r="J26" s="155"/>
      <c r="K26" s="155"/>
      <c r="L26" s="155"/>
      <c r="M26" s="155"/>
      <c r="N26" s="155"/>
      <c r="O26" s="395"/>
    </row>
    <row r="27" spans="1:15" ht="15.6" x14ac:dyDescent="0.3">
      <c r="A27" s="96" t="s">
        <v>95</v>
      </c>
      <c r="B27" s="95" t="s">
        <v>96</v>
      </c>
      <c r="C27" s="155"/>
      <c r="D27" s="155"/>
      <c r="E27" s="155"/>
      <c r="F27" s="155"/>
      <c r="G27" s="155"/>
      <c r="H27" s="155"/>
      <c r="I27" s="155"/>
      <c r="J27" s="155"/>
      <c r="K27" s="155"/>
      <c r="L27" s="155"/>
      <c r="M27" s="155"/>
      <c r="N27" s="155"/>
      <c r="O27" s="395"/>
    </row>
    <row r="28" spans="1:15" ht="15.6" x14ac:dyDescent="0.3">
      <c r="A28" s="109">
        <v>1</v>
      </c>
      <c r="B28" s="110" t="s">
        <v>122</v>
      </c>
      <c r="C28" s="97">
        <f>C25</f>
        <v>26</v>
      </c>
      <c r="D28" s="97">
        <f t="shared" ref="D28:K28" si="11">D25</f>
        <v>18</v>
      </c>
      <c r="E28" s="97">
        <f>E25</f>
        <v>8</v>
      </c>
      <c r="F28" s="153">
        <v>5</v>
      </c>
      <c r="G28" s="97">
        <f t="shared" si="11"/>
        <v>8</v>
      </c>
      <c r="H28" s="97">
        <f t="shared" ref="H28:I28" si="12">H25</f>
        <v>2</v>
      </c>
      <c r="I28" s="97">
        <f t="shared" si="12"/>
        <v>2</v>
      </c>
      <c r="J28" s="97">
        <f>J25</f>
        <v>40</v>
      </c>
      <c r="K28" s="97">
        <f t="shared" si="11"/>
        <v>25</v>
      </c>
      <c r="L28" s="97">
        <f t="shared" ref="L28" si="13">L25</f>
        <v>1</v>
      </c>
      <c r="M28" s="97">
        <f>M25</f>
        <v>2</v>
      </c>
      <c r="N28" s="97">
        <f>N25</f>
        <v>24</v>
      </c>
      <c r="O28" s="390">
        <f>O25</f>
        <v>26</v>
      </c>
    </row>
    <row r="29" spans="1:15" ht="15.6" x14ac:dyDescent="0.3">
      <c r="A29" s="98">
        <v>2</v>
      </c>
      <c r="B29" s="99" t="s">
        <v>123</v>
      </c>
      <c r="C29" s="153">
        <v>0</v>
      </c>
      <c r="D29" s="153">
        <v>0</v>
      </c>
      <c r="E29" s="153">
        <v>0</v>
      </c>
      <c r="F29" s="153">
        <v>0</v>
      </c>
      <c r="G29" s="153">
        <v>0</v>
      </c>
      <c r="H29" s="153">
        <v>0</v>
      </c>
      <c r="I29" s="153">
        <v>0</v>
      </c>
      <c r="J29" s="153">
        <v>0</v>
      </c>
      <c r="K29" s="153">
        <v>0</v>
      </c>
      <c r="L29" s="153">
        <v>0</v>
      </c>
      <c r="M29" s="153">
        <v>0</v>
      </c>
      <c r="N29" s="153">
        <v>0</v>
      </c>
      <c r="O29" s="394">
        <v>0</v>
      </c>
    </row>
    <row r="30" spans="1:15" ht="15.6" x14ac:dyDescent="0.3">
      <c r="A30" s="98"/>
      <c r="B30" s="99"/>
      <c r="C30" s="155"/>
      <c r="D30" s="155"/>
      <c r="E30" s="155"/>
      <c r="F30" s="155"/>
      <c r="G30" s="155"/>
      <c r="H30" s="155"/>
      <c r="I30" s="155"/>
      <c r="J30" s="155"/>
      <c r="K30" s="155"/>
      <c r="L30" s="155"/>
      <c r="M30" s="155"/>
      <c r="N30" s="155"/>
      <c r="O30" s="395"/>
    </row>
    <row r="31" spans="1:15" ht="15.6" x14ac:dyDescent="0.3">
      <c r="A31" s="111"/>
      <c r="B31" s="112" t="s">
        <v>124</v>
      </c>
      <c r="C31" s="97">
        <f>C28+C29</f>
        <v>26</v>
      </c>
      <c r="D31" s="97">
        <f t="shared" ref="D31:K31" si="14">D28+D29</f>
        <v>18</v>
      </c>
      <c r="E31" s="97">
        <f>E28+E29</f>
        <v>8</v>
      </c>
      <c r="F31" s="153">
        <v>5</v>
      </c>
      <c r="G31" s="97">
        <f t="shared" si="14"/>
        <v>8</v>
      </c>
      <c r="H31" s="97">
        <f t="shared" ref="H31:I31" si="15">H28+H29</f>
        <v>2</v>
      </c>
      <c r="I31" s="97">
        <f t="shared" si="15"/>
        <v>2</v>
      </c>
      <c r="J31" s="97">
        <f>J28+J29</f>
        <v>40</v>
      </c>
      <c r="K31" s="97">
        <f t="shared" si="14"/>
        <v>25</v>
      </c>
      <c r="L31" s="97">
        <f t="shared" ref="L31" si="16">L28+L29</f>
        <v>1</v>
      </c>
      <c r="M31" s="97">
        <f>M28+M29</f>
        <v>2</v>
      </c>
      <c r="N31" s="97">
        <f>N28+N29</f>
        <v>24</v>
      </c>
      <c r="O31" s="390">
        <f>O28+O29</f>
        <v>26</v>
      </c>
    </row>
    <row r="32" spans="1:15" ht="15.6" x14ac:dyDescent="0.3">
      <c r="A32" s="107"/>
      <c r="B32" s="113"/>
      <c r="C32" s="155"/>
      <c r="D32" s="155"/>
      <c r="E32" s="155"/>
      <c r="F32" s="155"/>
      <c r="G32" s="155"/>
      <c r="H32" s="155"/>
      <c r="I32" s="155"/>
      <c r="J32" s="155"/>
      <c r="K32" s="155"/>
      <c r="L32" s="155"/>
      <c r="M32" s="155"/>
      <c r="N32" s="155"/>
      <c r="O32" s="395"/>
    </row>
    <row r="33" spans="1:15" ht="47.4" thickBot="1" x14ac:dyDescent="0.35">
      <c r="A33" s="114" t="s">
        <v>125</v>
      </c>
      <c r="B33" s="115" t="s">
        <v>126</v>
      </c>
      <c r="C33" s="156">
        <v>0</v>
      </c>
      <c r="D33" s="156">
        <v>0</v>
      </c>
      <c r="E33" s="156">
        <v>0</v>
      </c>
      <c r="F33" s="156">
        <v>0</v>
      </c>
      <c r="G33" s="156">
        <v>0</v>
      </c>
      <c r="H33" s="156">
        <v>0</v>
      </c>
      <c r="I33" s="156">
        <v>0</v>
      </c>
      <c r="J33" s="156">
        <v>0</v>
      </c>
      <c r="K33" s="156">
        <v>0</v>
      </c>
      <c r="L33" s="156">
        <v>0</v>
      </c>
      <c r="M33" s="156">
        <v>0</v>
      </c>
      <c r="N33" s="156">
        <v>0</v>
      </c>
      <c r="O33" s="396">
        <v>0</v>
      </c>
    </row>
  </sheetData>
  <mergeCells count="17">
    <mergeCell ref="K9:O9"/>
    <mergeCell ref="A6:B6"/>
    <mergeCell ref="C6:J6"/>
    <mergeCell ref="A7:B7"/>
    <mergeCell ref="C7:J7"/>
    <mergeCell ref="A8:J8"/>
    <mergeCell ref="K8:O8"/>
    <mergeCell ref="A1:B1"/>
    <mergeCell ref="C1:J1"/>
    <mergeCell ref="K1:O7"/>
    <mergeCell ref="A2:B2"/>
    <mergeCell ref="C2:J2"/>
    <mergeCell ref="A3:B3"/>
    <mergeCell ref="C3:J3"/>
    <mergeCell ref="C4:J4"/>
    <mergeCell ref="A5:B5"/>
    <mergeCell ref="C5:J5"/>
  </mergeCells>
  <pageMargins left="0.2" right="0.2" top="0.5" bottom="0.25" header="0.3" footer="0.3"/>
  <pageSetup paperSize="9" scale="5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topLeftCell="A4" zoomScale="54" zoomScaleNormal="54" workbookViewId="0">
      <selection activeCell="Y14" sqref="Y14:Y15"/>
    </sheetView>
  </sheetViews>
  <sheetFormatPr defaultColWidth="9.33203125" defaultRowHeight="14.4" x14ac:dyDescent="0.3"/>
  <cols>
    <col min="1" max="1" width="30.109375" customWidth="1"/>
    <col min="2" max="23" width="9.44140625" customWidth="1"/>
    <col min="24" max="24" width="11.44140625" customWidth="1"/>
    <col min="25" max="25" width="16.33203125" customWidth="1"/>
    <col min="26" max="26" width="79" customWidth="1"/>
    <col min="27" max="27" width="9.33203125" customWidth="1"/>
  </cols>
  <sheetData>
    <row r="1" spans="1:26" ht="46.8" thickBot="1" x14ac:dyDescent="0.35">
      <c r="A1" s="381" t="s">
        <v>97</v>
      </c>
      <c r="B1" s="381"/>
      <c r="C1" s="381"/>
      <c r="D1" s="381"/>
      <c r="E1" s="381"/>
      <c r="F1" s="381"/>
      <c r="G1" s="381"/>
      <c r="H1" s="381"/>
      <c r="I1" s="381"/>
      <c r="J1" s="381"/>
      <c r="K1" s="381"/>
      <c r="L1" s="381"/>
      <c r="M1" s="381"/>
      <c r="N1" s="381"/>
      <c r="O1" s="381"/>
      <c r="P1" s="381"/>
      <c r="Q1" s="381"/>
      <c r="R1" s="381"/>
      <c r="S1" s="381"/>
      <c r="T1" s="381"/>
      <c r="U1" s="381"/>
      <c r="V1" s="381"/>
      <c r="W1" s="381"/>
      <c r="X1" s="381"/>
      <c r="Y1" s="381"/>
      <c r="Z1" s="190"/>
    </row>
    <row r="2" spans="1:26" ht="240.6" customHeight="1" thickBot="1" x14ac:dyDescent="0.35">
      <c r="A2" s="208" t="s">
        <v>136</v>
      </c>
      <c r="B2" s="225" t="s">
        <v>167</v>
      </c>
      <c r="C2" s="225" t="s">
        <v>173</v>
      </c>
      <c r="D2" s="225" t="s">
        <v>176</v>
      </c>
      <c r="E2" s="225" t="s">
        <v>179</v>
      </c>
      <c r="F2" s="225" t="s">
        <v>182</v>
      </c>
      <c r="G2" s="225" t="s">
        <v>185</v>
      </c>
      <c r="H2" s="225" t="s">
        <v>189</v>
      </c>
      <c r="I2" s="225" t="s">
        <v>192</v>
      </c>
      <c r="J2" s="225" t="s">
        <v>195</v>
      </c>
      <c r="K2" s="225" t="s">
        <v>198</v>
      </c>
      <c r="L2" s="225" t="s">
        <v>201</v>
      </c>
      <c r="M2" s="225" t="s">
        <v>204</v>
      </c>
      <c r="N2" s="225" t="s">
        <v>207</v>
      </c>
      <c r="O2" s="225" t="s">
        <v>210</v>
      </c>
      <c r="P2" s="225" t="s">
        <v>213</v>
      </c>
      <c r="Q2" s="225" t="s">
        <v>216</v>
      </c>
      <c r="R2" s="225" t="s">
        <v>219</v>
      </c>
      <c r="S2" s="225" t="s">
        <v>222</v>
      </c>
      <c r="T2" s="225" t="s">
        <v>225</v>
      </c>
      <c r="U2" s="225" t="s">
        <v>228</v>
      </c>
      <c r="V2" s="225" t="s">
        <v>231</v>
      </c>
      <c r="W2" s="225" t="s">
        <v>234</v>
      </c>
      <c r="X2" s="209"/>
      <c r="Y2" s="210" t="s">
        <v>100</v>
      </c>
      <c r="Z2" s="208"/>
    </row>
    <row r="3" spans="1:26" ht="30.6" customHeight="1" thickBot="1" x14ac:dyDescent="0.35">
      <c r="A3" s="226">
        <v>2002495907</v>
      </c>
      <c r="B3" s="230">
        <v>1</v>
      </c>
      <c r="C3" s="230">
        <v>1</v>
      </c>
      <c r="D3" s="230">
        <v>1</v>
      </c>
      <c r="E3" s="230">
        <v>1</v>
      </c>
      <c r="F3" s="230">
        <v>1</v>
      </c>
      <c r="G3" s="230">
        <v>1</v>
      </c>
      <c r="H3" s="230">
        <v>1</v>
      </c>
      <c r="I3" s="230">
        <v>1</v>
      </c>
      <c r="J3" s="230">
        <v>2</v>
      </c>
      <c r="K3" s="230">
        <v>3</v>
      </c>
      <c r="L3" s="230">
        <v>1</v>
      </c>
      <c r="M3" s="230">
        <v>1</v>
      </c>
      <c r="N3" s="230">
        <v>1</v>
      </c>
      <c r="O3" s="230">
        <v>1</v>
      </c>
      <c r="P3" s="230">
        <v>1</v>
      </c>
      <c r="Q3" s="230">
        <v>1</v>
      </c>
      <c r="R3" s="230">
        <v>2</v>
      </c>
      <c r="S3" s="230">
        <v>1</v>
      </c>
      <c r="T3" s="230">
        <v>1</v>
      </c>
      <c r="U3" s="230">
        <v>1</v>
      </c>
      <c r="V3" s="230">
        <v>1</v>
      </c>
      <c r="W3" s="230">
        <v>1</v>
      </c>
      <c r="X3" s="195"/>
      <c r="Y3" s="228">
        <f>SUM(B3:W3)</f>
        <v>26</v>
      </c>
      <c r="Z3" s="226" t="s">
        <v>113</v>
      </c>
    </row>
    <row r="4" spans="1:26" ht="30.6" customHeight="1" thickBot="1" x14ac:dyDescent="0.35">
      <c r="A4" s="226">
        <v>2002503216</v>
      </c>
      <c r="B4" s="230">
        <v>1</v>
      </c>
      <c r="C4" s="230">
        <v>1</v>
      </c>
      <c r="D4" s="230">
        <v>1</v>
      </c>
      <c r="E4" s="230">
        <v>1</v>
      </c>
      <c r="F4" s="230">
        <v>1</v>
      </c>
      <c r="G4" s="230">
        <v>1</v>
      </c>
      <c r="H4" s="230">
        <v>0</v>
      </c>
      <c r="I4" s="230">
        <v>1</v>
      </c>
      <c r="J4" s="230">
        <v>2</v>
      </c>
      <c r="K4" s="230">
        <v>2</v>
      </c>
      <c r="L4" s="230">
        <v>1</v>
      </c>
      <c r="M4" s="230">
        <v>0</v>
      </c>
      <c r="N4" s="230">
        <v>1</v>
      </c>
      <c r="O4" s="230">
        <v>1</v>
      </c>
      <c r="P4" s="230">
        <v>1</v>
      </c>
      <c r="Q4" s="230">
        <v>1</v>
      </c>
      <c r="R4" s="230">
        <v>0</v>
      </c>
      <c r="S4" s="230">
        <v>1</v>
      </c>
      <c r="T4" s="230">
        <v>0</v>
      </c>
      <c r="U4" s="230">
        <v>1</v>
      </c>
      <c r="V4" s="230">
        <v>0</v>
      </c>
      <c r="W4" s="230">
        <v>0</v>
      </c>
      <c r="X4" s="195"/>
      <c r="Y4" s="228">
        <f>SUM(B4:W4)</f>
        <v>18</v>
      </c>
      <c r="Z4" s="226" t="s">
        <v>144</v>
      </c>
    </row>
    <row r="5" spans="1:26" ht="30.6" customHeight="1" thickBot="1" x14ac:dyDescent="0.35">
      <c r="A5" s="226">
        <v>2002334231</v>
      </c>
      <c r="B5" s="227">
        <v>0</v>
      </c>
      <c r="C5" s="227">
        <v>0</v>
      </c>
      <c r="D5" s="227">
        <v>0</v>
      </c>
      <c r="E5" s="227">
        <v>0</v>
      </c>
      <c r="F5" s="227">
        <v>0</v>
      </c>
      <c r="G5" s="227">
        <v>0</v>
      </c>
      <c r="H5" s="227">
        <v>1</v>
      </c>
      <c r="I5" s="227">
        <v>0</v>
      </c>
      <c r="J5" s="227">
        <v>0</v>
      </c>
      <c r="K5" s="227">
        <v>1</v>
      </c>
      <c r="L5" s="227">
        <v>0</v>
      </c>
      <c r="M5" s="227">
        <v>1</v>
      </c>
      <c r="N5" s="227">
        <v>0</v>
      </c>
      <c r="O5" s="227">
        <v>0</v>
      </c>
      <c r="P5" s="227">
        <v>0</v>
      </c>
      <c r="Q5" s="227">
        <v>0</v>
      </c>
      <c r="R5" s="227">
        <v>2</v>
      </c>
      <c r="S5" s="227">
        <v>0</v>
      </c>
      <c r="T5" s="227">
        <v>1</v>
      </c>
      <c r="U5" s="227">
        <v>0</v>
      </c>
      <c r="V5" s="227">
        <v>1</v>
      </c>
      <c r="W5" s="227">
        <v>1</v>
      </c>
      <c r="X5" s="195"/>
      <c r="Y5" s="228">
        <f>SUM(B5:W5)</f>
        <v>8</v>
      </c>
      <c r="Z5" s="226" t="s">
        <v>238</v>
      </c>
    </row>
    <row r="6" spans="1:26" ht="30.6" customHeight="1" thickBot="1" x14ac:dyDescent="0.35">
      <c r="A6" s="229">
        <v>2002269100</v>
      </c>
      <c r="B6" s="227">
        <v>0</v>
      </c>
      <c r="C6" s="227">
        <v>0</v>
      </c>
      <c r="D6" s="227">
        <v>0</v>
      </c>
      <c r="E6" s="227">
        <v>0</v>
      </c>
      <c r="F6" s="227">
        <v>0</v>
      </c>
      <c r="G6" s="227">
        <v>0</v>
      </c>
      <c r="H6" s="227">
        <v>0</v>
      </c>
      <c r="I6" s="227">
        <v>0</v>
      </c>
      <c r="J6" s="227">
        <v>0</v>
      </c>
      <c r="K6" s="227">
        <v>0</v>
      </c>
      <c r="L6" s="227">
        <v>0</v>
      </c>
      <c r="M6" s="227">
        <v>0</v>
      </c>
      <c r="N6" s="227">
        <v>0</v>
      </c>
      <c r="O6" s="227">
        <v>0</v>
      </c>
      <c r="P6" s="231">
        <v>1</v>
      </c>
      <c r="Q6" s="227">
        <v>0</v>
      </c>
      <c r="R6" s="227">
        <v>0</v>
      </c>
      <c r="S6" s="227">
        <v>0</v>
      </c>
      <c r="T6" s="227">
        <v>0</v>
      </c>
      <c r="U6" s="227">
        <v>0</v>
      </c>
      <c r="V6" s="227">
        <v>0</v>
      </c>
      <c r="W6" s="227">
        <v>0</v>
      </c>
      <c r="X6" s="195"/>
      <c r="Y6" s="228">
        <f>SUM(B6:W6)</f>
        <v>1</v>
      </c>
      <c r="Z6" s="226" t="s">
        <v>237</v>
      </c>
    </row>
    <row r="7" spans="1:26" ht="30.6" customHeight="1" thickBot="1" x14ac:dyDescent="0.35">
      <c r="A7" s="226">
        <v>2002668786</v>
      </c>
      <c r="B7" s="227">
        <v>0</v>
      </c>
      <c r="C7" s="227">
        <v>0</v>
      </c>
      <c r="D7" s="227">
        <v>0</v>
      </c>
      <c r="E7" s="227">
        <v>0</v>
      </c>
      <c r="F7" s="227">
        <v>0</v>
      </c>
      <c r="G7" s="227">
        <v>0</v>
      </c>
      <c r="H7" s="227">
        <v>0</v>
      </c>
      <c r="I7" s="227">
        <v>0</v>
      </c>
      <c r="J7" s="227">
        <v>0</v>
      </c>
      <c r="K7" s="227">
        <v>0</v>
      </c>
      <c r="L7" s="227">
        <v>0</v>
      </c>
      <c r="M7" s="227">
        <v>0</v>
      </c>
      <c r="N7" s="227">
        <v>0</v>
      </c>
      <c r="O7" s="227">
        <v>0</v>
      </c>
      <c r="P7" s="227">
        <v>0</v>
      </c>
      <c r="Q7" s="227">
        <v>0</v>
      </c>
      <c r="R7" s="227">
        <v>4</v>
      </c>
      <c r="S7" s="227">
        <v>0</v>
      </c>
      <c r="T7" s="227">
        <v>2</v>
      </c>
      <c r="U7" s="227">
        <v>0</v>
      </c>
      <c r="V7" s="227">
        <v>0</v>
      </c>
      <c r="W7" s="227">
        <v>2</v>
      </c>
      <c r="X7" s="195"/>
      <c r="Y7" s="228">
        <f>SUM(B7:W7)</f>
        <v>8</v>
      </c>
      <c r="Z7" s="226" t="s">
        <v>135</v>
      </c>
    </row>
    <row r="8" spans="1:26" ht="30.6" customHeight="1" thickBot="1" x14ac:dyDescent="0.35">
      <c r="A8" s="226">
        <v>2001649259</v>
      </c>
      <c r="B8" s="227">
        <v>0</v>
      </c>
      <c r="C8" s="227">
        <v>0</v>
      </c>
      <c r="D8" s="227">
        <v>0</v>
      </c>
      <c r="E8" s="227">
        <v>0</v>
      </c>
      <c r="F8" s="227">
        <v>0</v>
      </c>
      <c r="G8" s="227">
        <v>0</v>
      </c>
      <c r="H8" s="227">
        <v>0</v>
      </c>
      <c r="I8" s="227">
        <v>0</v>
      </c>
      <c r="J8" s="227">
        <v>0</v>
      </c>
      <c r="K8" s="227">
        <v>0</v>
      </c>
      <c r="L8" s="227">
        <v>0</v>
      </c>
      <c r="M8" s="227">
        <v>0</v>
      </c>
      <c r="N8" s="227">
        <v>0</v>
      </c>
      <c r="O8" s="227">
        <v>2</v>
      </c>
      <c r="P8" s="227">
        <v>0</v>
      </c>
      <c r="Q8" s="227">
        <v>0</v>
      </c>
      <c r="R8" s="227">
        <v>0</v>
      </c>
      <c r="S8" s="227">
        <v>0</v>
      </c>
      <c r="T8" s="227">
        <v>0</v>
      </c>
      <c r="U8" s="227">
        <v>0</v>
      </c>
      <c r="V8" s="227">
        <v>0</v>
      </c>
      <c r="W8" s="227">
        <v>0</v>
      </c>
      <c r="X8" s="195"/>
      <c r="Y8" s="228">
        <f>SUM(B8:W8)</f>
        <v>2</v>
      </c>
      <c r="Z8" s="226" t="s">
        <v>135</v>
      </c>
    </row>
    <row r="9" spans="1:26" ht="30.6" customHeight="1" thickBot="1" x14ac:dyDescent="0.35">
      <c r="A9" s="226">
        <v>9500172828</v>
      </c>
      <c r="B9" s="227">
        <v>0</v>
      </c>
      <c r="C9" s="227">
        <v>0</v>
      </c>
      <c r="D9" s="227">
        <v>0</v>
      </c>
      <c r="E9" s="227">
        <v>0</v>
      </c>
      <c r="F9" s="227">
        <v>0</v>
      </c>
      <c r="G9" s="227">
        <v>0</v>
      </c>
      <c r="H9" s="227">
        <v>0</v>
      </c>
      <c r="I9" s="227">
        <v>0</v>
      </c>
      <c r="J9" s="227">
        <v>0</v>
      </c>
      <c r="K9" s="227">
        <v>0</v>
      </c>
      <c r="L9" s="227">
        <v>0</v>
      </c>
      <c r="M9" s="227">
        <v>0</v>
      </c>
      <c r="N9" s="227">
        <v>0</v>
      </c>
      <c r="O9" s="227">
        <v>0</v>
      </c>
      <c r="P9" s="227">
        <v>0</v>
      </c>
      <c r="Q9" s="227">
        <v>0</v>
      </c>
      <c r="R9" s="227">
        <v>0</v>
      </c>
      <c r="S9" s="227">
        <v>0</v>
      </c>
      <c r="T9" s="227">
        <v>0</v>
      </c>
      <c r="U9" s="227">
        <v>0</v>
      </c>
      <c r="V9" s="227">
        <v>2</v>
      </c>
      <c r="W9" s="227">
        <v>0</v>
      </c>
      <c r="X9" s="195"/>
      <c r="Y9" s="228">
        <f>SUM(B9:W9)</f>
        <v>2</v>
      </c>
      <c r="Z9" s="226" t="s">
        <v>135</v>
      </c>
    </row>
    <row r="10" spans="1:26" ht="30.6" customHeight="1" thickBot="1" x14ac:dyDescent="0.35">
      <c r="A10" s="226">
        <v>2002668758</v>
      </c>
      <c r="B10" s="227">
        <v>2</v>
      </c>
      <c r="C10" s="227">
        <v>2</v>
      </c>
      <c r="D10" s="227">
        <v>2</v>
      </c>
      <c r="E10" s="227">
        <v>2</v>
      </c>
      <c r="F10" s="227">
        <v>2</v>
      </c>
      <c r="G10" s="227">
        <v>2</v>
      </c>
      <c r="H10" s="227">
        <v>2</v>
      </c>
      <c r="I10" s="227">
        <v>2</v>
      </c>
      <c r="J10" s="227">
        <v>4</v>
      </c>
      <c r="K10" s="227">
        <v>6</v>
      </c>
      <c r="L10" s="227">
        <v>2</v>
      </c>
      <c r="M10" s="227">
        <v>2</v>
      </c>
      <c r="N10" s="227">
        <v>2</v>
      </c>
      <c r="O10" s="227">
        <v>0</v>
      </c>
      <c r="P10" s="227">
        <v>2</v>
      </c>
      <c r="Q10" s="227">
        <v>2</v>
      </c>
      <c r="R10" s="227">
        <v>0</v>
      </c>
      <c r="S10" s="227">
        <v>2</v>
      </c>
      <c r="T10" s="227">
        <v>0</v>
      </c>
      <c r="U10" s="227">
        <v>2</v>
      </c>
      <c r="V10" s="227">
        <v>0</v>
      </c>
      <c r="W10" s="227">
        <v>0</v>
      </c>
      <c r="X10" s="195"/>
      <c r="Y10" s="228">
        <f>SUM(B10:W10)</f>
        <v>40</v>
      </c>
      <c r="Z10" s="226" t="s">
        <v>156</v>
      </c>
    </row>
    <row r="11" spans="1:26" ht="30.6" customHeight="1" thickBot="1" x14ac:dyDescent="0.35">
      <c r="A11" s="226">
        <v>2002677184</v>
      </c>
      <c r="B11" s="230">
        <v>1</v>
      </c>
      <c r="C11" s="230">
        <v>1</v>
      </c>
      <c r="D11" s="230">
        <v>1</v>
      </c>
      <c r="E11" s="230">
        <v>1</v>
      </c>
      <c r="F11" s="230">
        <v>1</v>
      </c>
      <c r="G11" s="230">
        <v>1</v>
      </c>
      <c r="H11" s="230">
        <v>1</v>
      </c>
      <c r="I11" s="230">
        <v>1</v>
      </c>
      <c r="J11" s="230">
        <v>2</v>
      </c>
      <c r="K11" s="230">
        <v>3</v>
      </c>
      <c r="L11" s="230">
        <v>1</v>
      </c>
      <c r="M11" s="230">
        <v>1</v>
      </c>
      <c r="N11" s="230">
        <v>1</v>
      </c>
      <c r="O11" s="230">
        <v>1</v>
      </c>
      <c r="P11" s="230">
        <v>1</v>
      </c>
      <c r="Q11" s="230">
        <v>1</v>
      </c>
      <c r="R11" s="230">
        <v>2</v>
      </c>
      <c r="S11" s="230">
        <v>1</v>
      </c>
      <c r="T11" s="230">
        <v>1</v>
      </c>
      <c r="U11" s="230">
        <v>1</v>
      </c>
      <c r="V11" s="230">
        <v>0</v>
      </c>
      <c r="W11" s="230">
        <v>1</v>
      </c>
      <c r="X11" s="195"/>
      <c r="Y11" s="228">
        <f>SUM(B11:W11)</f>
        <v>25</v>
      </c>
      <c r="Z11" s="226" t="s">
        <v>133</v>
      </c>
    </row>
    <row r="12" spans="1:26" ht="30.6" customHeight="1" thickBot="1" x14ac:dyDescent="0.35">
      <c r="A12" s="226">
        <v>2002669131</v>
      </c>
      <c r="B12" s="227">
        <v>0</v>
      </c>
      <c r="C12" s="227">
        <v>0</v>
      </c>
      <c r="D12" s="227">
        <v>0</v>
      </c>
      <c r="E12" s="227">
        <v>0</v>
      </c>
      <c r="F12" s="227">
        <v>0</v>
      </c>
      <c r="G12" s="227">
        <v>0</v>
      </c>
      <c r="H12" s="227">
        <v>0</v>
      </c>
      <c r="I12" s="227">
        <v>0</v>
      </c>
      <c r="J12" s="227">
        <v>0</v>
      </c>
      <c r="K12" s="227">
        <v>0</v>
      </c>
      <c r="L12" s="227">
        <v>0</v>
      </c>
      <c r="M12" s="227">
        <v>0</v>
      </c>
      <c r="N12" s="227">
        <v>0</v>
      </c>
      <c r="O12" s="227">
        <v>0</v>
      </c>
      <c r="P12" s="227">
        <v>0</v>
      </c>
      <c r="Q12" s="227">
        <v>0</v>
      </c>
      <c r="R12" s="227">
        <v>0</v>
      </c>
      <c r="S12" s="227">
        <v>0</v>
      </c>
      <c r="T12" s="227">
        <v>0</v>
      </c>
      <c r="U12" s="227">
        <v>0</v>
      </c>
      <c r="V12" s="227">
        <v>1</v>
      </c>
      <c r="W12" s="227">
        <v>0</v>
      </c>
      <c r="X12" s="195"/>
      <c r="Y12" s="228">
        <f>SUM(B12:W12)</f>
        <v>1</v>
      </c>
      <c r="Z12" s="226" t="s">
        <v>133</v>
      </c>
    </row>
    <row r="13" spans="1:26" ht="30.6" customHeight="1" thickBot="1" x14ac:dyDescent="0.35">
      <c r="A13" s="226">
        <v>2002456956</v>
      </c>
      <c r="B13" s="227">
        <v>0</v>
      </c>
      <c r="C13" s="227">
        <v>0</v>
      </c>
      <c r="D13" s="227">
        <v>0</v>
      </c>
      <c r="E13" s="227">
        <v>0</v>
      </c>
      <c r="F13" s="227">
        <v>0</v>
      </c>
      <c r="G13" s="227">
        <v>0</v>
      </c>
      <c r="H13" s="227">
        <v>1</v>
      </c>
      <c r="I13" s="227">
        <v>0</v>
      </c>
      <c r="J13" s="227">
        <v>0</v>
      </c>
      <c r="K13" s="227">
        <v>0</v>
      </c>
      <c r="L13" s="227">
        <v>0</v>
      </c>
      <c r="M13" s="227">
        <v>0</v>
      </c>
      <c r="N13" s="227">
        <v>0</v>
      </c>
      <c r="O13" s="227">
        <v>0</v>
      </c>
      <c r="P13" s="227">
        <v>0</v>
      </c>
      <c r="Q13" s="227">
        <v>0</v>
      </c>
      <c r="R13" s="227">
        <v>0</v>
      </c>
      <c r="S13" s="227">
        <v>0</v>
      </c>
      <c r="T13" s="227">
        <v>0</v>
      </c>
      <c r="U13" s="227">
        <v>0</v>
      </c>
      <c r="V13" s="227">
        <v>1</v>
      </c>
      <c r="W13" s="227">
        <v>0</v>
      </c>
      <c r="X13" s="195"/>
      <c r="Y13" s="228">
        <f>SUM(B13:W13)</f>
        <v>2</v>
      </c>
      <c r="Z13" s="226" t="s">
        <v>134</v>
      </c>
    </row>
    <row r="14" spans="1:26" ht="30.6" customHeight="1" thickBot="1" x14ac:dyDescent="0.35">
      <c r="A14" s="226">
        <v>2002475640</v>
      </c>
      <c r="B14" s="230">
        <v>1</v>
      </c>
      <c r="C14" s="230">
        <v>1</v>
      </c>
      <c r="D14" s="230">
        <v>1</v>
      </c>
      <c r="E14" s="230">
        <v>1</v>
      </c>
      <c r="F14" s="230">
        <v>1</v>
      </c>
      <c r="G14" s="230">
        <v>1</v>
      </c>
      <c r="H14" s="230">
        <v>0</v>
      </c>
      <c r="I14" s="230">
        <v>1</v>
      </c>
      <c r="J14" s="230">
        <v>2</v>
      </c>
      <c r="K14" s="230">
        <v>3</v>
      </c>
      <c r="L14" s="230">
        <v>1</v>
      </c>
      <c r="M14" s="230">
        <v>1</v>
      </c>
      <c r="N14" s="230">
        <v>1</v>
      </c>
      <c r="O14" s="230">
        <v>1</v>
      </c>
      <c r="P14" s="230">
        <v>1</v>
      </c>
      <c r="Q14" s="230">
        <v>1</v>
      </c>
      <c r="R14" s="230">
        <v>2</v>
      </c>
      <c r="S14" s="230">
        <v>1</v>
      </c>
      <c r="T14" s="230">
        <v>1</v>
      </c>
      <c r="U14" s="230">
        <v>1</v>
      </c>
      <c r="V14" s="230">
        <v>0</v>
      </c>
      <c r="W14" s="230">
        <v>1</v>
      </c>
      <c r="X14" s="195"/>
      <c r="Y14" s="228">
        <f>SUM(B14:W14)</f>
        <v>24</v>
      </c>
      <c r="Z14" s="226" t="s">
        <v>134</v>
      </c>
    </row>
    <row r="15" spans="1:26" ht="30.6" customHeight="1" thickBot="1" x14ac:dyDescent="0.35">
      <c r="A15" s="226">
        <v>2002462695</v>
      </c>
      <c r="B15" s="230">
        <v>1</v>
      </c>
      <c r="C15" s="230">
        <v>1</v>
      </c>
      <c r="D15" s="230">
        <v>1</v>
      </c>
      <c r="E15" s="230">
        <v>1</v>
      </c>
      <c r="F15" s="230">
        <v>1</v>
      </c>
      <c r="G15" s="230">
        <v>1</v>
      </c>
      <c r="H15" s="230">
        <v>1</v>
      </c>
      <c r="I15" s="230">
        <v>1</v>
      </c>
      <c r="J15" s="230">
        <v>2</v>
      </c>
      <c r="K15" s="230">
        <v>3</v>
      </c>
      <c r="L15" s="230">
        <v>1</v>
      </c>
      <c r="M15" s="230">
        <v>1</v>
      </c>
      <c r="N15" s="230">
        <v>1</v>
      </c>
      <c r="O15" s="230">
        <v>1</v>
      </c>
      <c r="P15" s="230">
        <v>1</v>
      </c>
      <c r="Q15" s="230">
        <v>1</v>
      </c>
      <c r="R15" s="230">
        <v>2</v>
      </c>
      <c r="S15" s="230">
        <v>1</v>
      </c>
      <c r="T15" s="230">
        <v>1</v>
      </c>
      <c r="U15" s="230">
        <v>1</v>
      </c>
      <c r="V15" s="230">
        <v>1</v>
      </c>
      <c r="W15" s="230">
        <v>1</v>
      </c>
      <c r="X15" s="195"/>
      <c r="Y15" s="228">
        <f>SUM(B15:W15)</f>
        <v>26</v>
      </c>
      <c r="Z15" s="226" t="s">
        <v>143</v>
      </c>
    </row>
    <row r="16" spans="1:26" ht="46.2" customHeight="1" thickBot="1" x14ac:dyDescent="0.35">
      <c r="A16" s="191"/>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2"/>
    </row>
    <row r="17" spans="1:26" ht="46.2" customHeight="1" thickBot="1" x14ac:dyDescent="0.35">
      <c r="A17" s="193" t="s">
        <v>100</v>
      </c>
      <c r="B17" s="194">
        <f>SUM(B3:B15)</f>
        <v>7</v>
      </c>
      <c r="C17" s="194">
        <f>SUM(C3:C15)</f>
        <v>7</v>
      </c>
      <c r="D17" s="194">
        <f>SUM(D3:D15)</f>
        <v>7</v>
      </c>
      <c r="E17" s="194">
        <f t="shared" ref="E17:K17" si="0">SUM(E3:E15)</f>
        <v>7</v>
      </c>
      <c r="F17" s="194">
        <f t="shared" si="0"/>
        <v>7</v>
      </c>
      <c r="G17" s="194">
        <f t="shared" si="0"/>
        <v>7</v>
      </c>
      <c r="H17" s="194">
        <f t="shared" si="0"/>
        <v>7</v>
      </c>
      <c r="I17" s="194">
        <f t="shared" si="0"/>
        <v>7</v>
      </c>
      <c r="J17" s="194">
        <f t="shared" si="0"/>
        <v>14</v>
      </c>
      <c r="K17" s="194">
        <f t="shared" si="0"/>
        <v>21</v>
      </c>
      <c r="L17" s="194">
        <f t="shared" ref="L17:W17" si="1">SUM(L3:L15)</f>
        <v>7</v>
      </c>
      <c r="M17" s="194">
        <f t="shared" si="1"/>
        <v>7</v>
      </c>
      <c r="N17" s="194">
        <f t="shared" si="1"/>
        <v>7</v>
      </c>
      <c r="O17" s="194">
        <f t="shared" si="1"/>
        <v>7</v>
      </c>
      <c r="P17" s="232">
        <f t="shared" si="1"/>
        <v>8</v>
      </c>
      <c r="Q17" s="194">
        <f t="shared" si="1"/>
        <v>7</v>
      </c>
      <c r="R17" s="194">
        <f t="shared" si="1"/>
        <v>14</v>
      </c>
      <c r="S17" s="194">
        <f t="shared" si="1"/>
        <v>7</v>
      </c>
      <c r="T17" s="194">
        <f t="shared" si="1"/>
        <v>7</v>
      </c>
      <c r="U17" s="194">
        <f t="shared" si="1"/>
        <v>7</v>
      </c>
      <c r="V17" s="194">
        <f t="shared" si="1"/>
        <v>7</v>
      </c>
      <c r="W17" s="194">
        <f t="shared" si="1"/>
        <v>7</v>
      </c>
      <c r="X17" s="195"/>
      <c r="Y17" s="194">
        <f>SUM(Y3:Y15)</f>
        <v>183</v>
      </c>
      <c r="Z17" s="192"/>
    </row>
    <row r="18" spans="1:26" ht="46.2" customHeight="1" x14ac:dyDescent="0.3"/>
    <row r="19" spans="1:26" ht="46.2" customHeight="1" x14ac:dyDescent="0.3"/>
    <row r="20" spans="1:26" ht="46.2" customHeight="1" x14ac:dyDescent="0.3"/>
    <row r="21" spans="1:26" ht="46.2" customHeight="1" x14ac:dyDescent="0.3"/>
  </sheetData>
  <mergeCells count="1">
    <mergeCell ref="A1:Y1"/>
  </mergeCells>
  <pageMargins left="0.299212598" right="0.45866141700000002" top="0.35433070866141703" bottom="0.35433070866141703" header="0.31496062992126" footer="0.31496062992126"/>
  <pageSetup paperSize="9" scale="41" orientation="landscape" r:id="rId1"/>
  <ignoredErrors>
    <ignoredError sqref="Y10:Y15 Y3:Y5 Y6:Y9"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Main WCC</vt:lpstr>
      <vt:lpstr>WCC</vt:lpstr>
      <vt:lpstr>JMS</vt:lpstr>
      <vt:lpstr>Abstract</vt:lpstr>
      <vt:lpstr>BOQ</vt:lpstr>
      <vt:lpstr>Declaration</vt:lpstr>
      <vt:lpstr>Reco</vt:lpstr>
      <vt:lpstr>Annexture</vt:lpstr>
      <vt:lpstr>WCC!Print_Area</vt:lpstr>
    </vt:vector>
  </TitlesOfParts>
  <Company>Reliance Industries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Anuj10 Sharma (Consultant)</dc:creator>
  <cp:lastModifiedBy>Ankush Srivastava</cp:lastModifiedBy>
  <cp:lastPrinted>2025-09-06T03:59:45Z</cp:lastPrinted>
  <dcterms:created xsi:type="dcterms:W3CDTF">2019-02-15T11:03:32Z</dcterms:created>
  <dcterms:modified xsi:type="dcterms:W3CDTF">2026-04-05T10:46:12Z</dcterms:modified>
</cp:coreProperties>
</file>